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Work\QUAERO CAPITAL\DELAPORTE\5 - Playing Around With Excel\MAX Programs\Options Strategy Visualiser\"/>
    </mc:Choice>
  </mc:AlternateContent>
  <xr:revisionPtr revIDLastSave="0" documentId="13_ncr:1_{3252022D-D049-4BF9-AC14-3EDA41718B76}" xr6:coauthVersionLast="47" xr6:coauthVersionMax="47" xr10:uidLastSave="{00000000-0000-0000-0000-000000000000}"/>
  <bookViews>
    <workbookView xWindow="-120" yWindow="-120" windowWidth="29040" windowHeight="15840" xr2:uid="{44D3D27C-4EF3-4F36-B70C-BE24BBDA7132}"/>
  </bookViews>
  <sheets>
    <sheet name="Option Strategy Visualiser" sheetId="7" r:id="rId1"/>
  </sheets>
  <definedNames>
    <definedName name="_xlnm.Print_Area" localSheetId="0">'Option Strategy Visualiser'!$A$1:$AA$120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7" l="1" a="1"/>
  <c r="D4" i="7" s="1"/>
  <c r="I8" i="7" s="1"/>
  <c r="Y31" i="7"/>
  <c r="R106" i="7"/>
  <c r="S106" i="7" s="1"/>
  <c r="F106" i="7"/>
  <c r="G106" i="7" s="1"/>
  <c r="M8" i="7" l="1"/>
  <c r="B83" i="7"/>
  <c r="Y34" i="7"/>
  <c r="Y13" i="7"/>
  <c r="Q8" i="7"/>
  <c r="U8" i="7"/>
  <c r="F83" i="7" l="1"/>
  <c r="G83" i="7" s="1"/>
  <c r="R83" i="7"/>
  <c r="S83" i="7" s="1"/>
  <c r="Y106" i="7"/>
  <c r="V106" i="7"/>
  <c r="W106" i="7" s="1"/>
  <c r="N106" i="7"/>
  <c r="O106" i="7" s="1"/>
  <c r="J106" i="7"/>
  <c r="K106" i="7" s="1"/>
  <c r="B106" i="7"/>
  <c r="C106" i="7" s="1"/>
  <c r="B31" i="7" l="1"/>
  <c r="C83" i="7"/>
  <c r="Z106" i="7"/>
  <c r="Y20" i="7" s="1"/>
  <c r="J83" i="7" l="1"/>
  <c r="K83" i="7" s="1"/>
  <c r="V83" i="7"/>
  <c r="W83" i="7" s="1"/>
  <c r="Y83" i="7"/>
  <c r="N83" i="7"/>
  <c r="O83" i="7" s="1"/>
  <c r="Z83" i="7" l="1"/>
  <c r="D31" i="7" s="1"/>
  <c r="B82" i="7" l="1"/>
  <c r="R82" i="7" s="1"/>
  <c r="B84" i="7"/>
  <c r="R84" i="7" s="1"/>
  <c r="F84" i="7" l="1"/>
  <c r="G84" i="7" s="1"/>
  <c r="S84" i="7"/>
  <c r="F82" i="7"/>
  <c r="G82" i="7" s="1"/>
  <c r="S82" i="7"/>
  <c r="Y84" i="7"/>
  <c r="C84" i="7"/>
  <c r="N82" i="7"/>
  <c r="O82" i="7" s="1"/>
  <c r="C82" i="7"/>
  <c r="B81" i="7"/>
  <c r="B85" i="7"/>
  <c r="J84" i="7"/>
  <c r="K84" i="7" s="1"/>
  <c r="Y82" i="7"/>
  <c r="V82" i="7"/>
  <c r="W82" i="7" s="1"/>
  <c r="J82" i="7"/>
  <c r="K82" i="7" s="1"/>
  <c r="B30" i="7"/>
  <c r="V84" i="7"/>
  <c r="W84" i="7" s="1"/>
  <c r="B32" i="7"/>
  <c r="N84" i="7"/>
  <c r="O84" i="7" s="1"/>
  <c r="R85" i="7" l="1"/>
  <c r="S85" i="7" s="1"/>
  <c r="R81" i="7"/>
  <c r="S81" i="7" s="1"/>
  <c r="Z84" i="7"/>
  <c r="D32" i="7" s="1"/>
  <c r="Z82" i="7"/>
  <c r="D30" i="7" s="1"/>
  <c r="C85" i="7"/>
  <c r="F85" i="7"/>
  <c r="G85" i="7" s="1"/>
  <c r="C81" i="7"/>
  <c r="F81" i="7"/>
  <c r="G81" i="7" s="1"/>
  <c r="V85" i="7"/>
  <c r="W85" i="7" s="1"/>
  <c r="Y81" i="7"/>
  <c r="B86" i="7"/>
  <c r="R86" i="7" s="1"/>
  <c r="Y85" i="7"/>
  <c r="B80" i="7"/>
  <c r="N85" i="7"/>
  <c r="O85" i="7" s="1"/>
  <c r="N81" i="7"/>
  <c r="O81" i="7" s="1"/>
  <c r="J85" i="7"/>
  <c r="K85" i="7" s="1"/>
  <c r="J81" i="7"/>
  <c r="K81" i="7" s="1"/>
  <c r="B33" i="7"/>
  <c r="V81" i="7"/>
  <c r="W81" i="7" s="1"/>
  <c r="B29" i="7"/>
  <c r="R80" i="7" l="1"/>
  <c r="S80" i="7" s="1"/>
  <c r="Z85" i="7"/>
  <c r="D33" i="7" s="1"/>
  <c r="Z81" i="7"/>
  <c r="D29" i="7" s="1"/>
  <c r="F86" i="7"/>
  <c r="G86" i="7" s="1"/>
  <c r="S86" i="7"/>
  <c r="C80" i="7"/>
  <c r="F80" i="7"/>
  <c r="G80" i="7" s="1"/>
  <c r="Y86" i="7"/>
  <c r="C86" i="7"/>
  <c r="V80" i="7"/>
  <c r="W80" i="7" s="1"/>
  <c r="B79" i="7"/>
  <c r="N80" i="7"/>
  <c r="O80" i="7" s="1"/>
  <c r="B28" i="7"/>
  <c r="J80" i="7"/>
  <c r="K80" i="7" s="1"/>
  <c r="Y80" i="7"/>
  <c r="B87" i="7"/>
  <c r="R87" i="7" s="1"/>
  <c r="N86" i="7"/>
  <c r="O86" i="7" s="1"/>
  <c r="J86" i="7"/>
  <c r="K86" i="7" s="1"/>
  <c r="V86" i="7"/>
  <c r="W86" i="7" s="1"/>
  <c r="B34" i="7"/>
  <c r="R79" i="7" l="1"/>
  <c r="S79" i="7" s="1"/>
  <c r="Z86" i="7"/>
  <c r="D34" i="7" s="1"/>
  <c r="Z80" i="7"/>
  <c r="D28" i="7" s="1"/>
  <c r="F87" i="7"/>
  <c r="G87" i="7" s="1"/>
  <c r="S87" i="7"/>
  <c r="C79" i="7"/>
  <c r="F79" i="7"/>
  <c r="G79" i="7" s="1"/>
  <c r="J87" i="7"/>
  <c r="K87" i="7" s="1"/>
  <c r="C87" i="7"/>
  <c r="N79" i="7"/>
  <c r="O79" i="7" s="1"/>
  <c r="V79" i="7"/>
  <c r="W79" i="7" s="1"/>
  <c r="B27" i="7"/>
  <c r="J79" i="7"/>
  <c r="K79" i="7" s="1"/>
  <c r="B88" i="7"/>
  <c r="R88" i="7" s="1"/>
  <c r="V87" i="7"/>
  <c r="W87" i="7" s="1"/>
  <c r="Y79" i="7"/>
  <c r="B78" i="7"/>
  <c r="Y87" i="7"/>
  <c r="N87" i="7"/>
  <c r="O87" i="7" s="1"/>
  <c r="B35" i="7"/>
  <c r="R78" i="7" l="1"/>
  <c r="S78" i="7" s="1"/>
  <c r="Z87" i="7"/>
  <c r="D35" i="7" s="1"/>
  <c r="Z79" i="7"/>
  <c r="D27" i="7" s="1"/>
  <c r="F88" i="7"/>
  <c r="G88" i="7" s="1"/>
  <c r="S88" i="7"/>
  <c r="C78" i="7"/>
  <c r="F78" i="7"/>
  <c r="G78" i="7" s="1"/>
  <c r="Y88" i="7"/>
  <c r="C88" i="7"/>
  <c r="B77" i="7"/>
  <c r="R77" i="7" s="1"/>
  <c r="N88" i="7"/>
  <c r="O88" i="7" s="1"/>
  <c r="J88" i="7"/>
  <c r="K88" i="7" s="1"/>
  <c r="B26" i="7"/>
  <c r="V88" i="7"/>
  <c r="W88" i="7" s="1"/>
  <c r="N78" i="7"/>
  <c r="O78" i="7" s="1"/>
  <c r="Y78" i="7"/>
  <c r="B89" i="7"/>
  <c r="V78" i="7"/>
  <c r="W78" i="7" s="1"/>
  <c r="B36" i="7"/>
  <c r="J78" i="7"/>
  <c r="K78" i="7" s="1"/>
  <c r="R89" i="7" l="1"/>
  <c r="S89" i="7" s="1"/>
  <c r="Z88" i="7"/>
  <c r="D36" i="7" s="1"/>
  <c r="Z78" i="7"/>
  <c r="D26" i="7" s="1"/>
  <c r="F77" i="7"/>
  <c r="G77" i="7" s="1"/>
  <c r="S77" i="7"/>
  <c r="C89" i="7"/>
  <c r="F89" i="7"/>
  <c r="G89" i="7" s="1"/>
  <c r="N77" i="7"/>
  <c r="O77" i="7" s="1"/>
  <c r="C77" i="7"/>
  <c r="B76" i="7"/>
  <c r="R76" i="7" s="1"/>
  <c r="J77" i="7"/>
  <c r="K77" i="7" s="1"/>
  <c r="V77" i="7"/>
  <c r="W77" i="7" s="1"/>
  <c r="B25" i="7"/>
  <c r="Y77" i="7"/>
  <c r="N89" i="7"/>
  <c r="O89" i="7" s="1"/>
  <c r="V89" i="7"/>
  <c r="W89" i="7" s="1"/>
  <c r="B90" i="7"/>
  <c r="R90" i="7" s="1"/>
  <c r="J89" i="7"/>
  <c r="K89" i="7" s="1"/>
  <c r="Y89" i="7"/>
  <c r="B37" i="7"/>
  <c r="Z77" i="7" l="1"/>
  <c r="D25" i="7" s="1"/>
  <c r="Z89" i="7"/>
  <c r="D37" i="7" s="1"/>
  <c r="F90" i="7"/>
  <c r="G90" i="7" s="1"/>
  <c r="S90" i="7"/>
  <c r="F76" i="7"/>
  <c r="G76" i="7" s="1"/>
  <c r="S76" i="7"/>
  <c r="B24" i="7"/>
  <c r="C76" i="7"/>
  <c r="N90" i="7"/>
  <c r="O90" i="7" s="1"/>
  <c r="C90" i="7"/>
  <c r="V76" i="7"/>
  <c r="W76" i="7" s="1"/>
  <c r="Y76" i="7"/>
  <c r="J76" i="7"/>
  <c r="K76" i="7" s="1"/>
  <c r="B75" i="7"/>
  <c r="R75" i="7" s="1"/>
  <c r="N76" i="7"/>
  <c r="O76" i="7" s="1"/>
  <c r="B91" i="7"/>
  <c r="R91" i="7" s="1"/>
  <c r="V90" i="7"/>
  <c r="W90" i="7" s="1"/>
  <c r="B38" i="7"/>
  <c r="Y90" i="7"/>
  <c r="J90" i="7"/>
  <c r="K90" i="7" s="1"/>
  <c r="Z76" i="7" l="1"/>
  <c r="D24" i="7" s="1"/>
  <c r="Z90" i="7"/>
  <c r="D38" i="7" s="1"/>
  <c r="F91" i="7"/>
  <c r="G91" i="7" s="1"/>
  <c r="S91" i="7"/>
  <c r="F75" i="7"/>
  <c r="G75" i="7" s="1"/>
  <c r="S75" i="7"/>
  <c r="B23" i="7"/>
  <c r="C75" i="7"/>
  <c r="J91" i="7"/>
  <c r="K91" i="7" s="1"/>
  <c r="C91" i="7"/>
  <c r="Y75" i="7"/>
  <c r="B74" i="7"/>
  <c r="R74" i="7" s="1"/>
  <c r="S74" i="7" s="1"/>
  <c r="V75" i="7"/>
  <c r="W75" i="7" s="1"/>
  <c r="J75" i="7"/>
  <c r="K75" i="7" s="1"/>
  <c r="N75" i="7"/>
  <c r="O75" i="7" s="1"/>
  <c r="N91" i="7"/>
  <c r="O91" i="7" s="1"/>
  <c r="B92" i="7"/>
  <c r="Y91" i="7"/>
  <c r="V91" i="7"/>
  <c r="W91" i="7" s="1"/>
  <c r="B39" i="7"/>
  <c r="R92" i="7" l="1"/>
  <c r="S92" i="7" s="1"/>
  <c r="Z75" i="7"/>
  <c r="D23" i="7" s="1"/>
  <c r="Z91" i="7"/>
  <c r="D39" i="7" s="1"/>
  <c r="F74" i="7"/>
  <c r="G74" i="7" s="1"/>
  <c r="C92" i="7"/>
  <c r="F92" i="7"/>
  <c r="G92" i="7" s="1"/>
  <c r="C74" i="7"/>
  <c r="B40" i="7"/>
  <c r="B73" i="7"/>
  <c r="R73" i="7" s="1"/>
  <c r="B22" i="7"/>
  <c r="J74" i="7"/>
  <c r="K74" i="7" s="1"/>
  <c r="V74" i="7"/>
  <c r="W74" i="7" s="1"/>
  <c r="N74" i="7"/>
  <c r="O74" i="7" s="1"/>
  <c r="Y92" i="7"/>
  <c r="Y74" i="7"/>
  <c r="J92" i="7"/>
  <c r="K92" i="7" s="1"/>
  <c r="N92" i="7"/>
  <c r="O92" i="7" s="1"/>
  <c r="V92" i="7"/>
  <c r="W92" i="7" s="1"/>
  <c r="B93" i="7"/>
  <c r="R93" i="7" s="1"/>
  <c r="Z74" i="7" l="1"/>
  <c r="D22" i="7" s="1"/>
  <c r="Z92" i="7"/>
  <c r="D40" i="7" s="1"/>
  <c r="F93" i="7"/>
  <c r="G93" i="7" s="1"/>
  <c r="S93" i="7"/>
  <c r="F73" i="7"/>
  <c r="G73" i="7" s="1"/>
  <c r="S73" i="7"/>
  <c r="C93" i="7"/>
  <c r="B72" i="7"/>
  <c r="C73" i="7"/>
  <c r="B21" i="7"/>
  <c r="V73" i="7"/>
  <c r="W73" i="7" s="1"/>
  <c r="J73" i="7"/>
  <c r="K73" i="7" s="1"/>
  <c r="N73" i="7"/>
  <c r="O73" i="7" s="1"/>
  <c r="Y73" i="7"/>
  <c r="N93" i="7"/>
  <c r="O93" i="7" s="1"/>
  <c r="B41" i="7"/>
  <c r="Y93" i="7"/>
  <c r="J93" i="7"/>
  <c r="K93" i="7" s="1"/>
  <c r="V93" i="7"/>
  <c r="W93" i="7" s="1"/>
  <c r="B94" i="7"/>
  <c r="R94" i="7" s="1"/>
  <c r="R72" i="7" l="1"/>
  <c r="S72" i="7" s="1"/>
  <c r="Z93" i="7"/>
  <c r="D41" i="7" s="1"/>
  <c r="Z73" i="7"/>
  <c r="D21" i="7" s="1"/>
  <c r="F94" i="7"/>
  <c r="G94" i="7" s="1"/>
  <c r="S94" i="7"/>
  <c r="C72" i="7"/>
  <c r="F72" i="7"/>
  <c r="G72" i="7" s="1"/>
  <c r="V72" i="7"/>
  <c r="W72" i="7" s="1"/>
  <c r="J72" i="7"/>
  <c r="K72" i="7" s="1"/>
  <c r="B71" i="7"/>
  <c r="B20" i="7"/>
  <c r="N72" i="7"/>
  <c r="O72" i="7" s="1"/>
  <c r="Y72" i="7"/>
  <c r="B42" i="7"/>
  <c r="C94" i="7"/>
  <c r="J94" i="7"/>
  <c r="K94" i="7" s="1"/>
  <c r="Y94" i="7"/>
  <c r="B95" i="7"/>
  <c r="R95" i="7" s="1"/>
  <c r="N94" i="7"/>
  <c r="O94" i="7" s="1"/>
  <c r="V94" i="7"/>
  <c r="W94" i="7" s="1"/>
  <c r="R71" i="7" l="1"/>
  <c r="S71" i="7" s="1"/>
  <c r="Z94" i="7"/>
  <c r="D42" i="7" s="1"/>
  <c r="Z72" i="7"/>
  <c r="D20" i="7" s="1"/>
  <c r="F95" i="7"/>
  <c r="G95" i="7" s="1"/>
  <c r="S95" i="7"/>
  <c r="C71" i="7"/>
  <c r="F71" i="7"/>
  <c r="G71" i="7" s="1"/>
  <c r="V71" i="7"/>
  <c r="W71" i="7" s="1"/>
  <c r="B19" i="7"/>
  <c r="Y71" i="7"/>
  <c r="N71" i="7"/>
  <c r="O71" i="7" s="1"/>
  <c r="B70" i="7"/>
  <c r="R70" i="7" s="1"/>
  <c r="J71" i="7"/>
  <c r="K71" i="7" s="1"/>
  <c r="J95" i="7"/>
  <c r="K95" i="7" s="1"/>
  <c r="C95" i="7"/>
  <c r="Y95" i="7"/>
  <c r="V95" i="7"/>
  <c r="W95" i="7" s="1"/>
  <c r="B96" i="7"/>
  <c r="R96" i="7" s="1"/>
  <c r="B43" i="7"/>
  <c r="N95" i="7"/>
  <c r="O95" i="7" s="1"/>
  <c r="Z95" i="7" l="1"/>
  <c r="D43" i="7" s="1"/>
  <c r="Z71" i="7"/>
  <c r="D19" i="7" s="1"/>
  <c r="F96" i="7"/>
  <c r="G96" i="7" s="1"/>
  <c r="S96" i="7"/>
  <c r="V70" i="7"/>
  <c r="W70" i="7" s="1"/>
  <c r="S70" i="7"/>
  <c r="C70" i="7"/>
  <c r="F70" i="7"/>
  <c r="G70" i="7" s="1"/>
  <c r="N70" i="7"/>
  <c r="O70" i="7" s="1"/>
  <c r="B69" i="7"/>
  <c r="R69" i="7" s="1"/>
  <c r="J70" i="7"/>
  <c r="K70" i="7" s="1"/>
  <c r="Y70" i="7"/>
  <c r="B18" i="7"/>
  <c r="V96" i="7"/>
  <c r="W96" i="7" s="1"/>
  <c r="C96" i="7"/>
  <c r="B44" i="7"/>
  <c r="J96" i="7"/>
  <c r="K96" i="7" s="1"/>
  <c r="Y96" i="7"/>
  <c r="N96" i="7"/>
  <c r="O96" i="7" s="1"/>
  <c r="B97" i="7"/>
  <c r="R97" i="7" s="1"/>
  <c r="Z96" i="7" l="1"/>
  <c r="D44" i="7" s="1"/>
  <c r="Z70" i="7"/>
  <c r="D18" i="7" s="1"/>
  <c r="V69" i="7"/>
  <c r="W69" i="7" s="1"/>
  <c r="S69" i="7"/>
  <c r="F97" i="7"/>
  <c r="G97" i="7" s="1"/>
  <c r="S97" i="7"/>
  <c r="B17" i="7"/>
  <c r="J69" i="7"/>
  <c r="K69" i="7" s="1"/>
  <c r="C69" i="7"/>
  <c r="F69" i="7"/>
  <c r="G69" i="7" s="1"/>
  <c r="N69" i="7"/>
  <c r="O69" i="7" s="1"/>
  <c r="Y69" i="7"/>
  <c r="B68" i="7"/>
  <c r="R68" i="7" s="1"/>
  <c r="N97" i="7"/>
  <c r="O97" i="7" s="1"/>
  <c r="C97" i="7"/>
  <c r="B98" i="7"/>
  <c r="R98" i="7" s="1"/>
  <c r="V97" i="7"/>
  <c r="W97" i="7" s="1"/>
  <c r="B45" i="7"/>
  <c r="Y97" i="7"/>
  <c r="J97" i="7"/>
  <c r="K97" i="7" s="1"/>
  <c r="Z69" i="7" l="1"/>
  <c r="D17" i="7" s="1"/>
  <c r="Z97" i="7"/>
  <c r="D45" i="7" s="1"/>
  <c r="F98" i="7"/>
  <c r="G98" i="7" s="1"/>
  <c r="S98" i="7"/>
  <c r="B67" i="7"/>
  <c r="S68" i="7"/>
  <c r="J68" i="7"/>
  <c r="K68" i="7" s="1"/>
  <c r="Y68" i="7"/>
  <c r="V68" i="7"/>
  <c r="W68" i="7" s="1"/>
  <c r="C68" i="7"/>
  <c r="F68" i="7"/>
  <c r="G68" i="7" s="1"/>
  <c r="N68" i="7"/>
  <c r="O68" i="7" s="1"/>
  <c r="B16" i="7"/>
  <c r="N98" i="7"/>
  <c r="O98" i="7" s="1"/>
  <c r="C98" i="7"/>
  <c r="B99" i="7"/>
  <c r="R99" i="7" s="1"/>
  <c r="J98" i="7"/>
  <c r="K98" i="7" s="1"/>
  <c r="Y98" i="7"/>
  <c r="V98" i="7"/>
  <c r="W98" i="7" s="1"/>
  <c r="B46" i="7"/>
  <c r="R67" i="7" l="1"/>
  <c r="S67" i="7" s="1"/>
  <c r="V67" i="7"/>
  <c r="W67" i="7" s="1"/>
  <c r="B66" i="7"/>
  <c r="Z98" i="7"/>
  <c r="D46" i="7" s="1"/>
  <c r="N67" i="7"/>
  <c r="O67" i="7" s="1"/>
  <c r="Y67" i="7"/>
  <c r="Z68" i="7"/>
  <c r="D16" i="7" s="1"/>
  <c r="F67" i="7"/>
  <c r="G67" i="7" s="1"/>
  <c r="C67" i="7"/>
  <c r="J67" i="7"/>
  <c r="K67" i="7" s="1"/>
  <c r="B15" i="7"/>
  <c r="F99" i="7"/>
  <c r="G99" i="7" s="1"/>
  <c r="S99" i="7"/>
  <c r="N99" i="7"/>
  <c r="O99" i="7" s="1"/>
  <c r="C99" i="7"/>
  <c r="J99" i="7"/>
  <c r="K99" i="7" s="1"/>
  <c r="B47" i="7"/>
  <c r="Y99" i="7"/>
  <c r="V99" i="7"/>
  <c r="W99" i="7" s="1"/>
  <c r="B100" i="7"/>
  <c r="R100" i="7" s="1"/>
  <c r="R66" i="7" l="1"/>
  <c r="S66" i="7" s="1"/>
  <c r="V66" i="7"/>
  <c r="W66" i="7" s="1"/>
  <c r="Y66" i="7"/>
  <c r="B65" i="7"/>
  <c r="N65" i="7" s="1"/>
  <c r="O65" i="7" s="1"/>
  <c r="J66" i="7"/>
  <c r="K66" i="7" s="1"/>
  <c r="C66" i="7"/>
  <c r="B14" i="7"/>
  <c r="F66" i="7"/>
  <c r="G66" i="7" s="1"/>
  <c r="N66" i="7"/>
  <c r="O66" i="7" s="1"/>
  <c r="Z99" i="7"/>
  <c r="D47" i="7" s="1"/>
  <c r="Z67" i="7"/>
  <c r="D15" i="7" s="1"/>
  <c r="F100" i="7"/>
  <c r="G100" i="7" s="1"/>
  <c r="S100" i="7"/>
  <c r="V100" i="7"/>
  <c r="W100" i="7" s="1"/>
  <c r="C100" i="7"/>
  <c r="B101" i="7"/>
  <c r="B48" i="7"/>
  <c r="Y100" i="7"/>
  <c r="N100" i="7"/>
  <c r="O100" i="7" s="1"/>
  <c r="J100" i="7"/>
  <c r="K100" i="7" s="1"/>
  <c r="R101" i="7" l="1"/>
  <c r="S101" i="7" s="1"/>
  <c r="R65" i="7"/>
  <c r="S65" i="7" s="1"/>
  <c r="Z66" i="7"/>
  <c r="D14" i="7" s="1"/>
  <c r="B64" i="7"/>
  <c r="V65" i="7"/>
  <c r="W65" i="7" s="1"/>
  <c r="Y65" i="7"/>
  <c r="C65" i="7"/>
  <c r="B13" i="7"/>
  <c r="F65" i="7"/>
  <c r="G65" i="7" s="1"/>
  <c r="J65" i="7"/>
  <c r="K65" i="7" s="1"/>
  <c r="Z100" i="7"/>
  <c r="D48" i="7" s="1"/>
  <c r="C101" i="7"/>
  <c r="F101" i="7"/>
  <c r="G101" i="7" s="1"/>
  <c r="B102" i="7"/>
  <c r="R102" i="7" s="1"/>
  <c r="J101" i="7"/>
  <c r="K101" i="7" s="1"/>
  <c r="N101" i="7"/>
  <c r="O101" i="7" s="1"/>
  <c r="Y101" i="7"/>
  <c r="V101" i="7"/>
  <c r="W101" i="7" s="1"/>
  <c r="B49" i="7"/>
  <c r="R64" i="7" l="1"/>
  <c r="S64" i="7" s="1"/>
  <c r="B12" i="7"/>
  <c r="Z65" i="7"/>
  <c r="D13" i="7" s="1"/>
  <c r="J64" i="7"/>
  <c r="K64" i="7" s="1"/>
  <c r="N64" i="7"/>
  <c r="O64" i="7" s="1"/>
  <c r="F64" i="7"/>
  <c r="G64" i="7" s="1"/>
  <c r="C64" i="7"/>
  <c r="Y64" i="7"/>
  <c r="B63" i="7"/>
  <c r="V64" i="7"/>
  <c r="W64" i="7" s="1"/>
  <c r="Z101" i="7"/>
  <c r="D49" i="7" s="1"/>
  <c r="N102" i="7"/>
  <c r="O102" i="7" s="1"/>
  <c r="S102" i="7"/>
  <c r="B103" i="7"/>
  <c r="R103" i="7" s="1"/>
  <c r="J102" i="7"/>
  <c r="K102" i="7" s="1"/>
  <c r="C102" i="7"/>
  <c r="F102" i="7"/>
  <c r="G102" i="7" s="1"/>
  <c r="V102" i="7"/>
  <c r="W102" i="7" s="1"/>
  <c r="B50" i="7"/>
  <c r="Y102" i="7"/>
  <c r="R63" i="7" l="1"/>
  <c r="S63" i="7" s="1"/>
  <c r="J63" i="7"/>
  <c r="K63" i="7" s="1"/>
  <c r="B62" i="7"/>
  <c r="R62" i="7" s="1"/>
  <c r="S62" i="7" s="1"/>
  <c r="Z64" i="7"/>
  <c r="D12" i="7" s="1"/>
  <c r="B11" i="7"/>
  <c r="N63" i="7"/>
  <c r="O63" i="7" s="1"/>
  <c r="F63" i="7"/>
  <c r="G63" i="7" s="1"/>
  <c r="V63" i="7"/>
  <c r="W63" i="7" s="1"/>
  <c r="C63" i="7"/>
  <c r="Y63" i="7"/>
  <c r="Z102" i="7"/>
  <c r="D50" i="7" s="1"/>
  <c r="V103" i="7"/>
  <c r="W103" i="7" s="1"/>
  <c r="S103" i="7"/>
  <c r="Y103" i="7"/>
  <c r="B51" i="7"/>
  <c r="N103" i="7"/>
  <c r="O103" i="7" s="1"/>
  <c r="B104" i="7"/>
  <c r="R104" i="7" s="1"/>
  <c r="C103" i="7"/>
  <c r="F103" i="7"/>
  <c r="G103" i="7" s="1"/>
  <c r="J103" i="7"/>
  <c r="K103" i="7" s="1"/>
  <c r="N62" i="7" l="1"/>
  <c r="O62" i="7" s="1"/>
  <c r="V62" i="7"/>
  <c r="W62" i="7" s="1"/>
  <c r="Y62" i="7"/>
  <c r="C62" i="7"/>
  <c r="J62" i="7"/>
  <c r="K62" i="7" s="1"/>
  <c r="F62" i="7"/>
  <c r="G62" i="7" s="1"/>
  <c r="Z63" i="7"/>
  <c r="D11" i="7" s="1"/>
  <c r="B61" i="7"/>
  <c r="R61" i="7" s="1"/>
  <c r="S61" i="7" s="1"/>
  <c r="Z103" i="7"/>
  <c r="D51" i="7" s="1"/>
  <c r="B52" i="7"/>
  <c r="S104" i="7"/>
  <c r="N104" i="7"/>
  <c r="O104" i="7" s="1"/>
  <c r="Y104" i="7"/>
  <c r="V104" i="7"/>
  <c r="W104" i="7" s="1"/>
  <c r="J104" i="7"/>
  <c r="K104" i="7" s="1"/>
  <c r="B105" i="7"/>
  <c r="R105" i="7" s="1"/>
  <c r="C104" i="7"/>
  <c r="F104" i="7"/>
  <c r="G104" i="7" s="1"/>
  <c r="V61" i="7" l="1"/>
  <c r="W61" i="7" s="1"/>
  <c r="F61" i="7"/>
  <c r="G61" i="7" s="1"/>
  <c r="C61" i="7"/>
  <c r="Z62" i="7"/>
  <c r="D10" i="7" s="1"/>
  <c r="Y61" i="7"/>
  <c r="N61" i="7"/>
  <c r="O61" i="7" s="1"/>
  <c r="J61" i="7"/>
  <c r="K61" i="7" s="1"/>
  <c r="Z104" i="7"/>
  <c r="D52" i="7" s="1"/>
  <c r="N105" i="7"/>
  <c r="O105" i="7" s="1"/>
  <c r="S105" i="7"/>
  <c r="C105" i="7"/>
  <c r="F105" i="7"/>
  <c r="G105" i="7" s="1"/>
  <c r="V105" i="7"/>
  <c r="W105" i="7" s="1"/>
  <c r="B53" i="7"/>
  <c r="J105" i="7"/>
  <c r="K105" i="7" s="1"/>
  <c r="Y105" i="7"/>
  <c r="Z61" i="7" l="1"/>
  <c r="D9" i="7" s="1"/>
  <c r="Z105" i="7"/>
  <c r="D53" i="7" s="1"/>
  <c r="Y25" i="7" l="1"/>
  <c r="Y2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Maximilien Delaporte</author>
    <author>Max Delaporte</author>
  </authors>
  <commentList>
    <comment ref="G5" authorId="0" shapeId="0" xr:uid="{F66B1737-432F-4E28-991D-88568A560E70}">
      <text>
        <r>
          <rPr>
            <sz val="9"/>
            <color indexed="81"/>
            <rFont val="Tahoma"/>
            <family val="2"/>
          </rPr>
          <t xml:space="preserve">Of Contracts (quantity of underlying shares controlled / 100)
</t>
        </r>
      </text>
    </comment>
    <comment ref="I5" authorId="1" shapeId="0" xr:uid="{78B97EEC-9A69-4F61-A350-97DBA2054502}">
      <text>
        <r>
          <rPr>
            <sz val="9"/>
            <color indexed="81"/>
            <rFont val="Tahoma"/>
            <family val="2"/>
          </rPr>
          <t>+ for LONG
- for SHORT</t>
        </r>
      </text>
    </comment>
    <comment ref="K5" authorId="0" shapeId="0" xr:uid="{7A0F3E35-7D40-408E-AB8A-E2BDC8D63DA0}">
      <text>
        <r>
          <rPr>
            <sz val="9"/>
            <color indexed="81"/>
            <rFont val="Tahoma"/>
            <family val="2"/>
          </rPr>
          <t xml:space="preserve">Of Contracts (quantity of underlying shares controlled / 100)
</t>
        </r>
      </text>
    </comment>
    <comment ref="M5" authorId="1" shapeId="0" xr:uid="{EB094019-8794-420B-A780-C380A830DE5F}">
      <text>
        <r>
          <rPr>
            <sz val="9"/>
            <color indexed="81"/>
            <rFont val="Tahoma"/>
            <family val="2"/>
          </rPr>
          <t>+ for LONG
- for SHORT</t>
        </r>
      </text>
    </comment>
    <comment ref="O5" authorId="0" shapeId="0" xr:uid="{8A678190-FA24-4343-8540-93F747AD140D}">
      <text>
        <r>
          <rPr>
            <sz val="9"/>
            <color indexed="81"/>
            <rFont val="Tahoma"/>
            <family val="2"/>
          </rPr>
          <t xml:space="preserve">Of Contracts (quantity of underlying shares controlled / 100)
</t>
        </r>
      </text>
    </comment>
    <comment ref="Q5" authorId="1" shapeId="0" xr:uid="{0249A8D7-F084-4116-BEC3-30728D547ECC}">
      <text>
        <r>
          <rPr>
            <sz val="9"/>
            <color indexed="81"/>
            <rFont val="Tahoma"/>
            <family val="2"/>
          </rPr>
          <t>+ for LONG
- for SHORT</t>
        </r>
      </text>
    </comment>
    <comment ref="S5" authorId="0" shapeId="0" xr:uid="{6F1F46B1-2A16-478A-AC5E-B8B6FFFD3B04}">
      <text>
        <r>
          <rPr>
            <sz val="9"/>
            <color indexed="81"/>
            <rFont val="Tahoma"/>
            <family val="2"/>
          </rPr>
          <t xml:space="preserve">Of Contracts (quantity of underlying shares controlled / 100)
</t>
        </r>
      </text>
    </comment>
    <comment ref="U5" authorId="1" shapeId="0" xr:uid="{B67BEF60-B905-4E9E-B641-C65B0413F8A9}">
      <text>
        <r>
          <rPr>
            <sz val="9"/>
            <color indexed="81"/>
            <rFont val="Tahoma"/>
            <family val="2"/>
          </rPr>
          <t>+ for LONG
- for SHORT</t>
        </r>
      </text>
    </comment>
    <comment ref="Y5" authorId="1" shapeId="0" xr:uid="{EC8F259F-4CA9-428E-89DD-623C042FF690}">
      <text>
        <r>
          <rPr>
            <sz val="9"/>
            <color indexed="81"/>
            <rFont val="Tahoma"/>
            <family val="2"/>
          </rPr>
          <t>+ for LONG
- for SHORT</t>
        </r>
      </text>
    </comment>
    <comment ref="W6" authorId="0" shapeId="0" xr:uid="{D3429616-9120-4FD2-A9AF-8D4CCC496508}">
      <text>
        <r>
          <rPr>
            <sz val="9"/>
            <color indexed="81"/>
            <rFont val="Tahoma"/>
            <family val="2"/>
          </rPr>
          <t>At Buy</t>
        </r>
      </text>
    </comment>
    <comment ref="W11" authorId="0" shapeId="0" xr:uid="{5F85B64D-0D01-4E17-BEA1-E4102A4EA717}">
      <text>
        <r>
          <rPr>
            <sz val="9"/>
            <color indexed="81"/>
            <rFont val="Tahoma"/>
            <family val="2"/>
          </rPr>
          <t xml:space="preserve">Of Contracts (quantity of underlying shares controlled / 100)
</t>
        </r>
      </text>
    </comment>
    <comment ref="Y11" authorId="1" shapeId="0" xr:uid="{7E132687-6B3B-41E4-A5B6-26BFF113D1B9}">
      <text>
        <r>
          <rPr>
            <b/>
            <sz val="9"/>
            <color indexed="81"/>
            <rFont val="Tahoma"/>
            <family val="2"/>
          </rPr>
          <t>+ for LONG
- for SHORT</t>
        </r>
      </text>
    </comment>
    <comment ref="Y31" authorId="1" shapeId="0" xr:uid="{128A288D-F641-4162-8823-00BA9858D84E}">
      <text>
        <r>
          <rPr>
            <b/>
            <sz val="9"/>
            <color indexed="81"/>
            <rFont val="Tahoma"/>
            <family val="2"/>
          </rPr>
          <t>POSITIVE IS INFLOW
NEGATIVE IS OUTFLOW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<sst xmlns="http://schemas.openxmlformats.org/spreadsheetml/2006/main" count="68" uniqueCount="34">
  <si>
    <t>LEG 1</t>
  </si>
  <si>
    <t>QUANTITY</t>
  </si>
  <si>
    <t>STRIKE PRICE</t>
  </si>
  <si>
    <t>PREMIUM</t>
  </si>
  <si>
    <t>LEG 2</t>
  </si>
  <si>
    <t>FUTURES PRICE</t>
  </si>
  <si>
    <t>LEG 3</t>
  </si>
  <si>
    <t>LEG 4</t>
  </si>
  <si>
    <t>LEG 5</t>
  </si>
  <si>
    <t>OPTION</t>
  </si>
  <si>
    <t>UNDERLYING PRICE</t>
  </si>
  <si>
    <t>PROFIT/LOSS</t>
  </si>
  <si>
    <t>Net premium flow</t>
  </si>
  <si>
    <t>MAX LOSS POTENTIAL</t>
  </si>
  <si>
    <t>MAX PROFIT POTENTIAL</t>
  </si>
  <si>
    <t xml:space="preserve">P/L </t>
  </si>
  <si>
    <t>UNDRLYNG PX</t>
  </si>
  <si>
    <t>COMBINED</t>
  </si>
  <si>
    <t>OPTION:</t>
  </si>
  <si>
    <t>GRAPH INTERVALS SIZE</t>
  </si>
  <si>
    <t>LEG 6</t>
  </si>
  <si>
    <t>Price</t>
  </si>
  <si>
    <t>ENTER CUSTOM UNDERLYNG PX</t>
  </si>
  <si>
    <t>TOTAL STRATEGY COST</t>
  </si>
  <si>
    <t>SHARES</t>
  </si>
  <si>
    <t>FUTURES</t>
  </si>
  <si>
    <t>UNDERLYING SECURITY</t>
  </si>
  <si>
    <t>PX_LAST</t>
  </si>
  <si>
    <t>UNDRLNG PX</t>
  </si>
  <si>
    <t>^Reset^</t>
  </si>
  <si>
    <t>CURNT UNDERLYING PX</t>
  </si>
  <si>
    <t>TSLA</t>
  </si>
  <si>
    <t>CALL</t>
  </si>
  <si>
    <t>P/L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</si>
</sst>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</numFmts>
  <fonts count="17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C000"/>
      <name val="Calibri"/>
      <family val="2"/>
      <scheme val="minor"/>
    </font>
    <font>
      <b/>
      <u/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u/>
      <sz val="12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u/>
      <sz val="14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C000"/>
      <name val="Calibri"/>
      <family val="2"/>
      <scheme val="minor"/>
    </font>
    <font>
      <b/>
      <sz val="14"/>
      <color rgb="FFFF3300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31971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theme="0" tint="-0.14999847407452621"/>
      </patternFill>
    </fill>
    <fill>
      <patternFill patternType="solid">
        <fgColor theme="1" tint="0.14999847407452621"/>
        <bgColor theme="0" tint="-0.14999847407452621"/>
      </patternFill>
    </fill>
    <fill>
      <patternFill patternType="solid">
        <fgColor theme="1" tint="0.249977111117893"/>
        <bgColor theme="0" tint="-0.14999847407452621"/>
      </patternFill>
    </fill>
    <fill>
      <patternFill patternType="solid">
        <fgColor rgb="FFFF3300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F373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3E1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/>
      <right style="medium">
        <color indexed="64"/>
      </right>
      <top style="thin">
        <color theme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15" borderId="0"/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131">
    <xf numFmtId="0" fontId="0" fillId="15" borderId="0" xfId="0"/>
    <xf numFmtId="2" fontId="0" fillId="15" borderId="34" xfId="0" applyNumberFormat="1" applyBorder="1"/>
    <xf numFmtId="2" fontId="0" fillId="4" borderId="35" xfId="0" applyNumberFormat="1" applyFill="1" applyBorder="1"/>
    <xf numFmtId="2" fontId="0" fillId="15" borderId="35" xfId="0" applyNumberFormat="1" applyBorder="1"/>
    <xf numFmtId="2" fontId="0" fillId="15" borderId="36" xfId="0" applyNumberFormat="1" applyBorder="1"/>
    <xf numFmtId="0" fontId="0" fillId="5" borderId="0" xfId="0" applyFill="1"/>
    <xf numFmtId="0" fontId="3" fillId="5" borderId="0" xfId="0" applyFont="1" applyFill="1"/>
    <xf numFmtId="0" fontId="0" fillId="5" borderId="2" xfId="0" applyFill="1" applyBorder="1"/>
    <xf numFmtId="0" fontId="0" fillId="5" borderId="4" xfId="0" applyFill="1" applyBorder="1"/>
    <xf numFmtId="0" fontId="7" fillId="5" borderId="13" xfId="0" applyFont="1" applyFill="1" applyBorder="1" applyAlignment="1">
      <alignment horizontal="center"/>
    </xf>
    <xf numFmtId="2" fontId="0" fillId="7" borderId="24" xfId="0" applyNumberFormat="1" applyFill="1" applyBorder="1"/>
    <xf numFmtId="2" fontId="0" fillId="7" borderId="25" xfId="0" applyNumberFormat="1" applyFill="1" applyBorder="1"/>
    <xf numFmtId="2" fontId="0" fillId="8" borderId="24" xfId="0" applyNumberFormat="1" applyFill="1" applyBorder="1"/>
    <xf numFmtId="2" fontId="0" fillId="8" borderId="25" xfId="0" applyNumberFormat="1" applyFill="1" applyBorder="1"/>
    <xf numFmtId="2" fontId="0" fillId="7" borderId="26" xfId="0" applyNumberFormat="1" applyFill="1" applyBorder="1"/>
    <xf numFmtId="2" fontId="0" fillId="7" borderId="27" xfId="0" applyNumberFormat="1" applyFill="1" applyBorder="1"/>
    <xf numFmtId="2" fontId="0" fillId="7" borderId="29" xfId="0" applyNumberFormat="1" applyFill="1" applyBorder="1"/>
    <xf numFmtId="2" fontId="0" fillId="7" borderId="30" xfId="0" applyNumberFormat="1" applyFill="1" applyBorder="1"/>
    <xf numFmtId="2" fontId="12" fillId="5" borderId="21" xfId="0" applyNumberFormat="1" applyFont="1" applyFill="1" applyBorder="1"/>
    <xf numFmtId="2" fontId="12" fillId="5" borderId="31" xfId="0" applyNumberFormat="1" applyFont="1" applyFill="1" applyBorder="1"/>
    <xf numFmtId="2" fontId="12" fillId="5" borderId="22" xfId="0" applyNumberFormat="1" applyFont="1" applyFill="1" applyBorder="1"/>
    <xf numFmtId="2" fontId="12" fillId="5" borderId="24" xfId="0" applyNumberFormat="1" applyFont="1" applyFill="1" applyBorder="1"/>
    <xf numFmtId="2" fontId="12" fillId="10" borderId="24" xfId="0" applyNumberFormat="1" applyFont="1" applyFill="1" applyBorder="1"/>
    <xf numFmtId="0" fontId="9" fillId="11" borderId="28" xfId="0" applyFont="1" applyFill="1" applyBorder="1"/>
    <xf numFmtId="0" fontId="9" fillId="11" borderId="1" xfId="0" applyFont="1" applyFill="1" applyBorder="1"/>
    <xf numFmtId="0" fontId="12" fillId="13" borderId="7" xfId="0" applyFont="1" applyFill="1" applyBorder="1"/>
    <xf numFmtId="0" fontId="12" fillId="13" borderId="37" xfId="0" applyFont="1" applyFill="1" applyBorder="1"/>
    <xf numFmtId="0" fontId="12" fillId="5" borderId="7" xfId="0" applyFont="1" applyFill="1" applyBorder="1"/>
    <xf numFmtId="0" fontId="12" fillId="5" borderId="11" xfId="0" applyFont="1" applyFill="1" applyBorder="1"/>
    <xf numFmtId="0" fontId="12" fillId="13" borderId="23" xfId="0" applyFont="1" applyFill="1" applyBorder="1"/>
    <xf numFmtId="0" fontId="12" fillId="13" borderId="38" xfId="0" applyFont="1" applyFill="1" applyBorder="1"/>
    <xf numFmtId="0" fontId="8" fillId="12" borderId="1" xfId="0" applyFont="1" applyFill="1" applyBorder="1" applyAlignment="1">
      <alignment horizontal="center" vertical="center"/>
    </xf>
    <xf numFmtId="2" fontId="0" fillId="5" borderId="4" xfId="0" applyNumberFormat="1" applyFill="1" applyBorder="1"/>
    <xf numFmtId="2" fontId="12" fillId="5" borderId="10" xfId="0" applyNumberFormat="1" applyFont="1" applyFill="1" applyBorder="1"/>
    <xf numFmtId="2" fontId="0" fillId="15" borderId="13" xfId="0" applyNumberFormat="1" applyBorder="1"/>
    <xf numFmtId="2" fontId="0" fillId="15" borderId="39" xfId="0" applyNumberFormat="1" applyBorder="1"/>
    <xf numFmtId="2" fontId="0" fillId="15" borderId="40" xfId="0" applyNumberFormat="1" applyBorder="1"/>
    <xf numFmtId="2" fontId="12" fillId="5" borderId="38" xfId="0" applyNumberFormat="1" applyFont="1" applyFill="1" applyBorder="1"/>
    <xf numFmtId="0" fontId="14" fillId="15" borderId="5" xfId="0" applyFont="1" applyBorder="1" applyAlignment="1">
      <alignment wrapText="1"/>
    </xf>
    <xf numFmtId="0" fontId="12" fillId="15" borderId="6" xfId="0" applyFont="1" applyBorder="1" applyAlignment="1">
      <alignment horizontal="center"/>
    </xf>
    <xf numFmtId="2" fontId="1" fillId="4" borderId="35" xfId="0" applyNumberFormat="1" applyFont="1" applyFill="1" applyBorder="1"/>
    <xf numFmtId="2" fontId="1" fillId="15" borderId="35" xfId="0" applyNumberFormat="1" applyFont="1" applyBorder="1"/>
    <xf numFmtId="2" fontId="1" fillId="15" borderId="36" xfId="0" applyNumberFormat="1" applyFont="1" applyBorder="1"/>
    <xf numFmtId="0" fontId="8" fillId="3" borderId="21" xfId="0" applyFont="1" applyFill="1" applyBorder="1" applyAlignment="1">
      <alignment horizontal="center"/>
    </xf>
    <xf numFmtId="0" fontId="8" fillId="3" borderId="3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 wrapText="1"/>
    </xf>
    <xf numFmtId="0" fontId="9" fillId="2" borderId="4" xfId="0" applyFont="1" applyFill="1" applyBorder="1" applyAlignment="1">
      <alignment horizontal="center" wrapText="1"/>
    </xf>
    <xf numFmtId="0" fontId="9" fillId="2" borderId="8" xfId="0" applyFont="1" applyFill="1" applyBorder="1" applyAlignment="1">
      <alignment horizontal="center" wrapText="1"/>
    </xf>
    <xf numFmtId="0" fontId="9" fillId="2" borderId="10" xfId="0" applyFont="1" applyFill="1" applyBorder="1" applyAlignment="1">
      <alignment horizontal="center" wrapText="1"/>
    </xf>
    <xf numFmtId="0" fontId="9" fillId="16" borderId="2" xfId="0" applyFont="1" applyFill="1" applyBorder="1" applyAlignment="1">
      <alignment horizontal="center" wrapText="1"/>
    </xf>
    <xf numFmtId="0" fontId="9" fillId="16" borderId="4" xfId="0" applyFont="1" applyFill="1" applyBorder="1" applyAlignment="1">
      <alignment horizontal="center" wrapText="1"/>
    </xf>
    <xf numFmtId="0" fontId="9" fillId="16" borderId="8" xfId="0" applyFont="1" applyFill="1" applyBorder="1" applyAlignment="1">
      <alignment horizontal="center" wrapText="1"/>
    </xf>
    <xf numFmtId="0" fontId="9" fillId="16" borderId="10" xfId="0" applyFont="1" applyFill="1" applyBorder="1" applyAlignment="1">
      <alignment horizontal="center" wrapText="1"/>
    </xf>
    <xf numFmtId="0" fontId="16" fillId="5" borderId="5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5" borderId="21" xfId="0" applyFont="1" applyFill="1" applyBorder="1" applyAlignment="1">
      <alignment horizontal="right"/>
    </xf>
    <xf numFmtId="0" fontId="8" fillId="5" borderId="22" xfId="0" applyFont="1" applyFill="1" applyBorder="1" applyAlignment="1">
      <alignment horizontal="right"/>
    </xf>
    <xf numFmtId="0" fontId="12" fillId="13" borderId="8" xfId="0" applyFont="1" applyFill="1" applyBorder="1" applyAlignment="1">
      <alignment horizontal="center"/>
    </xf>
    <xf numFmtId="0" fontId="12" fillId="13" borderId="12" xfId="0" applyFont="1" applyFill="1" applyBorder="1" applyAlignment="1">
      <alignment horizontal="center"/>
    </xf>
    <xf numFmtId="0" fontId="9" fillId="11" borderId="21" xfId="0" applyFont="1" applyFill="1" applyBorder="1" applyAlignment="1">
      <alignment horizontal="center"/>
    </xf>
    <xf numFmtId="0" fontId="9" fillId="11" borderId="32" xfId="0" applyFont="1" applyFill="1" applyBorder="1" applyAlignment="1">
      <alignment horizontal="center"/>
    </xf>
    <xf numFmtId="0" fontId="9" fillId="11" borderId="22" xfId="0" applyFont="1" applyFill="1" applyBorder="1" applyAlignment="1">
      <alignment horizontal="center"/>
    </xf>
    <xf numFmtId="0" fontId="12" fillId="5" borderId="16" xfId="0" applyFont="1" applyFill="1" applyBorder="1" applyAlignment="1">
      <alignment horizontal="center"/>
    </xf>
    <xf numFmtId="0" fontId="12" fillId="5" borderId="17" xfId="0" applyFont="1" applyFill="1" applyBorder="1" applyAlignment="1">
      <alignment horizontal="center"/>
    </xf>
    <xf numFmtId="0" fontId="12" fillId="13" borderId="15" xfId="0" applyFont="1" applyFill="1" applyBorder="1" applyAlignment="1">
      <alignment horizontal="center"/>
    </xf>
    <xf numFmtId="0" fontId="12" fillId="13" borderId="20" xfId="0" applyFont="1" applyFill="1" applyBorder="1" applyAlignment="1">
      <alignment horizontal="center"/>
    </xf>
    <xf numFmtId="0" fontId="12" fillId="5" borderId="18" xfId="0" applyFont="1" applyFill="1" applyBorder="1" applyAlignment="1">
      <alignment horizontal="center"/>
    </xf>
    <xf numFmtId="0" fontId="12" fillId="5" borderId="19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 wrapText="1"/>
    </xf>
    <xf numFmtId="0" fontId="10" fillId="5" borderId="4" xfId="0" applyFont="1" applyFill="1" applyBorder="1" applyAlignment="1">
      <alignment horizontal="center" wrapText="1"/>
    </xf>
    <xf numFmtId="0" fontId="10" fillId="5" borderId="8" xfId="0" applyFont="1" applyFill="1" applyBorder="1" applyAlignment="1">
      <alignment horizontal="center" wrapText="1"/>
    </xf>
    <xf numFmtId="0" fontId="10" fillId="5" borderId="10" xfId="0" applyFont="1" applyFill="1" applyBorder="1" applyAlignment="1">
      <alignment horizontal="center" wrapText="1"/>
    </xf>
    <xf numFmtId="164" fontId="6" fillId="12" borderId="2" xfId="2" applyFont="1" applyFill="1" applyBorder="1" applyAlignment="1">
      <alignment horizontal="center" vertical="center"/>
    </xf>
    <xf numFmtId="164" fontId="6" fillId="12" borderId="4" xfId="2" applyFont="1" applyFill="1" applyBorder="1" applyAlignment="1">
      <alignment horizontal="center" vertical="center"/>
    </xf>
    <xf numFmtId="164" fontId="6" fillId="12" borderId="8" xfId="2" applyFont="1" applyFill="1" applyBorder="1" applyAlignment="1">
      <alignment horizontal="center" vertical="center"/>
    </xf>
    <xf numFmtId="164" fontId="6" fillId="12" borderId="10" xfId="2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/>
    </xf>
    <xf numFmtId="0" fontId="12" fillId="13" borderId="19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10" fillId="5" borderId="21" xfId="0" applyFont="1" applyFill="1" applyBorder="1" applyAlignment="1">
      <alignment horizontal="right" wrapText="1"/>
    </xf>
    <xf numFmtId="0" fontId="10" fillId="5" borderId="22" xfId="0" applyFont="1" applyFill="1" applyBorder="1" applyAlignment="1">
      <alignment horizontal="right" wrapText="1"/>
    </xf>
    <xf numFmtId="164" fontId="6" fillId="12" borderId="21" xfId="2" applyFont="1" applyFill="1" applyBorder="1" applyAlignment="1">
      <alignment horizontal="center"/>
    </xf>
    <xf numFmtId="164" fontId="6" fillId="12" borderId="22" xfId="2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164" fontId="6" fillId="12" borderId="2" xfId="2" applyFont="1" applyFill="1" applyBorder="1" applyAlignment="1">
      <alignment horizontal="center"/>
    </xf>
    <xf numFmtId="164" fontId="6" fillId="12" borderId="4" xfId="2" applyFont="1" applyFill="1" applyBorder="1" applyAlignment="1">
      <alignment horizontal="center"/>
    </xf>
    <xf numFmtId="164" fontId="6" fillId="12" borderId="8" xfId="2" applyFont="1" applyFill="1" applyBorder="1" applyAlignment="1">
      <alignment horizontal="center"/>
    </xf>
    <xf numFmtId="164" fontId="6" fillId="12" borderId="10" xfId="2" applyFont="1" applyFill="1" applyBorder="1" applyAlignment="1">
      <alignment horizontal="center"/>
    </xf>
    <xf numFmtId="0" fontId="10" fillId="5" borderId="2" xfId="0" applyFont="1" applyFill="1" applyBorder="1" applyAlignment="1">
      <alignment horizontal="right" wrapText="1"/>
    </xf>
    <xf numFmtId="0" fontId="10" fillId="5" borderId="4" xfId="0" applyFont="1" applyFill="1" applyBorder="1" applyAlignment="1">
      <alignment horizontal="right" wrapText="1"/>
    </xf>
    <xf numFmtId="0" fontId="10" fillId="5" borderId="8" xfId="0" applyFont="1" applyFill="1" applyBorder="1" applyAlignment="1">
      <alignment horizontal="right" wrapText="1"/>
    </xf>
    <xf numFmtId="0" fontId="10" fillId="5" borderId="10" xfId="0" applyFont="1" applyFill="1" applyBorder="1" applyAlignment="1">
      <alignment horizontal="right" wrapText="1"/>
    </xf>
    <xf numFmtId="2" fontId="2" fillId="6" borderId="2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2" fontId="2" fillId="6" borderId="8" xfId="0" applyNumberFormat="1" applyFont="1" applyFill="1" applyBorder="1" applyAlignment="1">
      <alignment horizontal="center"/>
    </xf>
    <xf numFmtId="2" fontId="2" fillId="6" borderId="10" xfId="0" applyNumberFormat="1" applyFont="1" applyFill="1" applyBorder="1" applyAlignment="1">
      <alignment horizontal="center"/>
    </xf>
    <xf numFmtId="2" fontId="2" fillId="14" borderId="2" xfId="0" applyNumberFormat="1" applyFont="1" applyFill="1" applyBorder="1" applyAlignment="1">
      <alignment horizontal="center"/>
    </xf>
    <xf numFmtId="2" fontId="2" fillId="14" borderId="4" xfId="0" applyNumberFormat="1" applyFont="1" applyFill="1" applyBorder="1" applyAlignment="1">
      <alignment horizontal="center"/>
    </xf>
    <xf numFmtId="2" fontId="2" fillId="14" borderId="8" xfId="0" applyNumberFormat="1" applyFont="1" applyFill="1" applyBorder="1" applyAlignment="1">
      <alignment horizontal="center"/>
    </xf>
    <xf numFmtId="2" fontId="2" fillId="14" borderId="10" xfId="0" applyNumberFormat="1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0" fontId="10" fillId="5" borderId="10" xfId="0" applyFont="1" applyFill="1" applyBorder="1" applyAlignment="1">
      <alignment horizontal="center"/>
    </xf>
    <xf numFmtId="2" fontId="2" fillId="15" borderId="2" xfId="2" applyNumberFormat="1" applyFont="1" applyFill="1" applyBorder="1" applyAlignment="1">
      <alignment horizontal="center"/>
    </xf>
    <xf numFmtId="2" fontId="2" fillId="15" borderId="4" xfId="2" applyNumberFormat="1" applyFont="1" applyFill="1" applyBorder="1" applyAlignment="1">
      <alignment horizontal="center"/>
    </xf>
    <xf numFmtId="2" fontId="2" fillId="15" borderId="8" xfId="2" applyNumberFormat="1" applyFont="1" applyFill="1" applyBorder="1" applyAlignment="1">
      <alignment horizontal="center"/>
    </xf>
    <xf numFmtId="2" fontId="2" fillId="15" borderId="10" xfId="2" applyNumberFormat="1" applyFont="1" applyFill="1" applyBorder="1" applyAlignment="1">
      <alignment horizontal="center"/>
    </xf>
    <xf numFmtId="166" fontId="2" fillId="15" borderId="2" xfId="1" applyNumberFormat="1" applyFont="1" applyFill="1" applyBorder="1" applyAlignment="1">
      <alignment horizontal="center"/>
    </xf>
    <xf numFmtId="166" fontId="2" fillId="15" borderId="4" xfId="1" applyNumberFormat="1" applyFont="1" applyFill="1" applyBorder="1" applyAlignment="1">
      <alignment horizontal="center"/>
    </xf>
    <xf numFmtId="166" fontId="2" fillId="15" borderId="8" xfId="1" applyNumberFormat="1" applyFont="1" applyFill="1" applyBorder="1" applyAlignment="1">
      <alignment horizontal="center"/>
    </xf>
    <xf numFmtId="166" fontId="2" fillId="15" borderId="10" xfId="1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right"/>
    </xf>
    <xf numFmtId="0" fontId="6" fillId="5" borderId="3" xfId="0" applyFont="1" applyFill="1" applyBorder="1" applyAlignment="1">
      <alignment horizontal="right"/>
    </xf>
    <xf numFmtId="0" fontId="6" fillId="5" borderId="8" xfId="0" applyFont="1" applyFill="1" applyBorder="1" applyAlignment="1">
      <alignment horizontal="right"/>
    </xf>
    <xf numFmtId="0" fontId="6" fillId="5" borderId="9" xfId="0" applyFont="1" applyFill="1" applyBorder="1" applyAlignment="1">
      <alignment horizontal="right"/>
    </xf>
    <xf numFmtId="0" fontId="15" fillId="5" borderId="0" xfId="0" applyFont="1" applyFill="1" applyAlignment="1">
      <alignment horizontal="center" vertical="center"/>
    </xf>
    <xf numFmtId="0" fontId="12" fillId="13" borderId="14" xfId="0" applyFont="1" applyFill="1" applyBorder="1" applyAlignment="1">
      <alignment horizontal="center"/>
    </xf>
    <xf numFmtId="0" fontId="12" fillId="13" borderId="33" xfId="0" applyFont="1" applyFill="1" applyBorder="1" applyAlignment="1">
      <alignment horizontal="center"/>
    </xf>
  </cellXfs>
  <cellStyles count="3">
    <cellStyle name="Comma" xfId="1" builtinId="3"/>
    <cellStyle name="Currency" xfId="2" builtinId="4"/>
    <cellStyle name="Normal" xfId="0" builtinId="0" customBuiltin="1"/>
  </cellStyles>
  <dxfs count="98">
    <dxf>
      <fill>
        <patternFill>
          <bgColor theme="1" tint="0.34998626667073579"/>
        </patternFill>
      </fill>
    </dxf>
    <dxf>
      <fill>
        <patternFill>
          <bgColor theme="1" tint="0.24994659260841701"/>
        </patternFill>
      </fill>
    </dxf>
    <dxf>
      <fill>
        <patternFill>
          <bgColor rgb="FF354536"/>
        </patternFill>
      </fill>
    </dxf>
    <dxf>
      <fill>
        <patternFill>
          <bgColor theme="1" tint="0.14996795556505021"/>
        </patternFill>
      </fill>
    </dxf>
    <dxf>
      <fill>
        <patternFill>
          <bgColor rgb="FF319719"/>
        </patternFill>
      </fill>
    </dxf>
    <dxf>
      <font>
        <b/>
        <i val="0"/>
        <strike val="0"/>
        <color rgb="FFFFC000"/>
      </font>
      <numFmt numFmtId="0" formatCode="General"/>
      <fill>
        <patternFill>
          <bgColor theme="9" tint="-0.499984740745262"/>
        </patternFill>
      </fill>
      <border>
        <vertical/>
        <horizontal/>
      </border>
    </dxf>
    <dxf>
      <font>
        <b/>
        <i val="0"/>
        <color rgb="FFFFC000"/>
      </font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ill>
        <patternFill>
          <bgColor rgb="FF319719"/>
        </patternFill>
      </fill>
    </dxf>
    <dxf>
      <font>
        <b/>
        <i val="0"/>
        <strike val="0"/>
        <color rgb="FFFFC000"/>
      </font>
      <numFmt numFmtId="0" formatCode="General"/>
      <fill>
        <patternFill>
          <bgColor theme="9" tint="-0.499984740745262"/>
        </patternFill>
      </fill>
      <border>
        <vertical/>
        <horizontal/>
      </border>
    </dxf>
    <dxf>
      <font>
        <b/>
        <i val="0"/>
        <color rgb="FFFFC000"/>
      </font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1" tint="0.24994659260841701"/>
        </patternFill>
      </fill>
    </dxf>
    <dxf>
      <fill>
        <patternFill>
          <bgColor rgb="FF354536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1" tint="0.24994659260841701"/>
        </patternFill>
      </fill>
    </dxf>
    <dxf>
      <fill>
        <patternFill>
          <bgColor rgb="FF354536"/>
        </patternFill>
      </fill>
    </dxf>
    <dxf>
      <fill>
        <patternFill>
          <bgColor theme="1" tint="0.24994659260841701"/>
        </patternFill>
      </fill>
    </dxf>
    <dxf>
      <fill>
        <patternFill>
          <bgColor rgb="FF354536"/>
        </patternFill>
      </fill>
    </dxf>
    <dxf>
      <fill>
        <patternFill>
          <bgColor theme="1" tint="0.24994659260841701"/>
        </patternFill>
      </fill>
    </dxf>
    <dxf>
      <fill>
        <patternFill>
          <bgColor rgb="FF354536"/>
        </patternFill>
      </fill>
    </dxf>
    <dxf>
      <fill>
        <patternFill>
          <bgColor theme="1" tint="0.24994659260841701"/>
        </patternFill>
      </fill>
    </dxf>
    <dxf>
      <fill>
        <patternFill>
          <bgColor rgb="FF354536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rgb="FF354536"/>
        </patternFill>
      </fill>
    </dxf>
    <dxf>
      <fill>
        <patternFill>
          <bgColor rgb="FF319719"/>
        </patternFill>
      </fill>
    </dxf>
    <dxf>
      <font>
        <b/>
        <i val="0"/>
        <strike val="0"/>
        <color rgb="FFFFC000"/>
      </font>
      <numFmt numFmtId="0" formatCode="General"/>
      <fill>
        <patternFill>
          <bgColor theme="9" tint="-0.499984740745262"/>
        </patternFill>
      </fill>
      <border>
        <vertical/>
        <horizontal/>
      </border>
    </dxf>
    <dxf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ill>
        <patternFill>
          <bgColor rgb="FF319719"/>
        </patternFill>
      </fill>
    </dxf>
    <dxf>
      <font>
        <b/>
        <i val="0"/>
        <strike val="0"/>
        <color rgb="FFFFC000"/>
      </font>
      <numFmt numFmtId="0" formatCode="General"/>
      <fill>
        <patternFill>
          <bgColor theme="9" tint="-0.499984740745262"/>
        </patternFill>
      </fill>
      <border>
        <vertical/>
        <horizontal/>
      </border>
    </dxf>
    <dxf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ill>
        <patternFill>
          <bgColor rgb="FF319719"/>
        </patternFill>
      </fill>
    </dxf>
    <dxf>
      <font>
        <b/>
        <i val="0"/>
        <strike val="0"/>
        <color rgb="FFFFC000"/>
      </font>
      <numFmt numFmtId="0" formatCode="General"/>
      <fill>
        <patternFill>
          <bgColor theme="9" tint="-0.499984740745262"/>
        </patternFill>
      </fill>
      <border>
        <vertical/>
        <horizontal/>
      </border>
    </dxf>
    <dxf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ill>
        <patternFill>
          <bgColor rgb="FF319719"/>
        </patternFill>
      </fill>
    </dxf>
    <dxf>
      <font>
        <b/>
        <i val="0"/>
        <strike val="0"/>
        <color rgb="FFFFC000"/>
      </font>
      <numFmt numFmtId="0" formatCode="General"/>
      <fill>
        <patternFill>
          <bgColor theme="9" tint="-0.499984740745262"/>
        </patternFill>
      </fill>
      <border>
        <vertical/>
        <horizontal/>
      </border>
    </dxf>
    <dxf>
      <fill>
        <patternFill>
          <bgColor theme="1"/>
        </patternFill>
      </fill>
    </dxf>
    <dxf>
      <numFmt numFmtId="2" formatCode="0.00"/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color rgb="FFFFC000"/>
      </font>
      <numFmt numFmtId="2" formatCode="0.00"/>
      <fill>
        <patternFill patternType="solid">
          <fgColor theme="0" tint="-0.14999847407452621"/>
          <bgColor theme="1" tint="0.249977111117893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thin">
          <color theme="1"/>
        </bottom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color rgb="FFFFC000"/>
      </font>
      <numFmt numFmtId="2" formatCode="0.00"/>
      <fill>
        <patternFill patternType="solid">
          <fgColor theme="0" tint="-0.14999847407452621"/>
          <bgColor theme="1" tint="0.249977111117893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color rgb="FFFFC000"/>
      </font>
      <numFmt numFmtId="2" formatCode="0.00"/>
      <fill>
        <patternFill patternType="solid">
          <fgColor theme="0" tint="-0.14999847407452621"/>
          <bgColor theme="1" tint="0.249977111117893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thin">
          <color theme="1"/>
        </bottom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color rgb="FFFFC000"/>
      </font>
      <numFmt numFmtId="2" formatCode="0.00"/>
      <fill>
        <patternFill patternType="solid">
          <fgColor theme="0" tint="-0.14999847407452621"/>
          <bgColor theme="1" tint="0.249977111117893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thin">
          <color theme="1"/>
        </bottom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color rgb="FFFFC000"/>
      </font>
      <numFmt numFmtId="2" formatCode="0.00"/>
      <fill>
        <patternFill patternType="solid">
          <fgColor theme="0" tint="-0.14999847407452621"/>
          <bgColor theme="1" tint="0.249977111117893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thin">
          <color theme="1"/>
        </bottom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color rgb="FFFFC000"/>
      </font>
      <numFmt numFmtId="2" formatCode="0.00"/>
      <fill>
        <patternFill patternType="solid">
          <fgColor theme="0" tint="-0.14999847407452621"/>
          <bgColor theme="1" tint="0.249977111117893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thin">
          <color theme="1"/>
        </bottom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numFmt numFmtId="2" formatCode="0.00"/>
      <fill>
        <patternFill patternType="solid">
          <fgColor indexed="64"/>
          <bgColor theme="1" tint="0.1499984740745262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family val="2"/>
        <scheme val="minor"/>
      </font>
    </dxf>
  </dxfs>
  <tableStyles count="0" defaultTableStyle="TableStyleMedium2" defaultPivotStyle="PivotStyleLight16"/>
  <colors>
    <mruColors>
      <color rgb="FFFF3E11"/>
      <color rgb="FFFF3300"/>
      <color rgb="FFF67B00"/>
      <color rgb="FF5F3737"/>
      <color rgb="FF354536"/>
      <color rgb="FF222F21"/>
      <color rgb="FF586F55"/>
      <color rgb="FF58B000"/>
      <color rgb="FF2C2020"/>
      <color rgb="FF7837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P/L</a:t>
            </a:r>
          </a:p>
        </c:rich>
      </c:tx>
      <c:layout>
        <c:manualLayout>
          <c:xMode val="edge"/>
          <c:yMode val="edge"/>
          <c:x val="0.4346442291832413"/>
          <c:y val="2.2629907977707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'Option Strategy Visualiser'!$C$59</c:f>
              <c:strCache>
                <c:ptCount val="1"/>
                <c:pt idx="0">
                  <c:v>P/L 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Visualiser'!$B$60:$B$106</c:f>
              <c:numCache>
                <c:formatCode>0.00</c:formatCode>
                <c:ptCount val="46"/>
                <c:pt idx="1">
                  <c:v>-22</c:v>
                </c:pt>
                <c:pt idx="2">
                  <c:v>-21</c:v>
                </c:pt>
                <c:pt idx="3">
                  <c:v>-20</c:v>
                </c:pt>
                <c:pt idx="4">
                  <c:v>-19</c:v>
                </c:pt>
                <c:pt idx="5">
                  <c:v>-18</c:v>
                </c:pt>
                <c:pt idx="6">
                  <c:v>-17</c:v>
                </c:pt>
                <c:pt idx="7">
                  <c:v>-16</c:v>
                </c:pt>
                <c:pt idx="8">
                  <c:v>-15</c:v>
                </c:pt>
                <c:pt idx="9">
                  <c:v>-14</c:v>
                </c:pt>
                <c:pt idx="10">
                  <c:v>-13</c:v>
                </c:pt>
                <c:pt idx="11">
                  <c:v>-12</c:v>
                </c:pt>
                <c:pt idx="12">
                  <c:v>-11</c:v>
                </c:pt>
                <c:pt idx="13">
                  <c:v>-10</c:v>
                </c:pt>
                <c:pt idx="14">
                  <c:v>-9</c:v>
                </c:pt>
                <c:pt idx="15">
                  <c:v>-8</c:v>
                </c:pt>
                <c:pt idx="16">
                  <c:v>-7</c:v>
                </c:pt>
                <c:pt idx="17">
                  <c:v>-6</c:v>
                </c:pt>
                <c:pt idx="18">
                  <c:v>-5</c:v>
                </c:pt>
                <c:pt idx="19">
                  <c:v>-4</c:v>
                </c:pt>
                <c:pt idx="20">
                  <c:v>-3</c:v>
                </c:pt>
                <c:pt idx="21">
                  <c:v>-2</c:v>
                </c:pt>
                <c:pt idx="22">
                  <c:v>-1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</c:numCache>
            </c:numRef>
          </c:cat>
          <c:val>
            <c:numRef>
              <c:f>'Option Strategy Visualiser'!$C$60:$C$106</c:f>
              <c:numCache>
                <c:formatCode>0.00</c:formatCode>
                <c:ptCount val="46"/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  <c:pt idx="14">
                  <c:v>-300</c:v>
                </c:pt>
                <c:pt idx="15">
                  <c:v>-300</c:v>
                </c:pt>
                <c:pt idx="16">
                  <c:v>-300</c:v>
                </c:pt>
                <c:pt idx="17">
                  <c:v>-300</c:v>
                </c:pt>
                <c:pt idx="18">
                  <c:v>-300</c:v>
                </c:pt>
                <c:pt idx="19">
                  <c:v>-300</c:v>
                </c:pt>
                <c:pt idx="20">
                  <c:v>-300</c:v>
                </c:pt>
                <c:pt idx="21">
                  <c:v>-300</c:v>
                </c:pt>
                <c:pt idx="22">
                  <c:v>-300</c:v>
                </c:pt>
                <c:pt idx="23">
                  <c:v>-300</c:v>
                </c:pt>
                <c:pt idx="24">
                  <c:v>-300</c:v>
                </c:pt>
                <c:pt idx="25">
                  <c:v>-300</c:v>
                </c:pt>
                <c:pt idx="26">
                  <c:v>-300</c:v>
                </c:pt>
                <c:pt idx="27">
                  <c:v>-300</c:v>
                </c:pt>
                <c:pt idx="28">
                  <c:v>-300</c:v>
                </c:pt>
                <c:pt idx="29">
                  <c:v>-200</c:v>
                </c:pt>
                <c:pt idx="30">
                  <c:v>-100</c:v>
                </c:pt>
                <c:pt idx="31">
                  <c:v>0</c:v>
                </c:pt>
                <c:pt idx="32">
                  <c:v>100</c:v>
                </c:pt>
                <c:pt idx="33">
                  <c:v>200</c:v>
                </c:pt>
                <c:pt idx="34">
                  <c:v>300</c:v>
                </c:pt>
                <c:pt idx="35">
                  <c:v>400</c:v>
                </c:pt>
                <c:pt idx="36">
                  <c:v>500</c:v>
                </c:pt>
                <c:pt idx="37">
                  <c:v>600</c:v>
                </c:pt>
                <c:pt idx="38">
                  <c:v>700</c:v>
                </c:pt>
                <c:pt idx="39">
                  <c:v>800</c:v>
                </c:pt>
                <c:pt idx="40">
                  <c:v>900</c:v>
                </c:pt>
                <c:pt idx="41">
                  <c:v>1000</c:v>
                </c:pt>
                <c:pt idx="42">
                  <c:v>1100</c:v>
                </c:pt>
                <c:pt idx="43">
                  <c:v>1200</c:v>
                </c:pt>
                <c:pt idx="44">
                  <c:v>1300</c:v>
                </c:pt>
                <c:pt idx="45">
                  <c:v>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9B-4F32-BF42-7247EBB24C15}"/>
            </c:ext>
          </c:extLst>
        </c:ser>
        <c:ser>
          <c:idx val="0"/>
          <c:order val="1"/>
          <c:tx>
            <c:strRef>
              <c:f>'Option Strategy Visualiser'!$C$59</c:f>
              <c:strCache>
                <c:ptCount val="1"/>
                <c:pt idx="0">
                  <c:v>P/L </c:v>
                </c:pt>
              </c:strCache>
            </c:strRef>
          </c:tx>
          <c:spPr>
            <a:ln w="34925" cap="rnd">
              <a:solidFill>
                <a:srgbClr val="F67B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Visualiser'!$B$60:$B$106</c:f>
              <c:numCache>
                <c:formatCode>0.00</c:formatCode>
                <c:ptCount val="46"/>
                <c:pt idx="1">
                  <c:v>-22</c:v>
                </c:pt>
                <c:pt idx="2">
                  <c:v>-21</c:v>
                </c:pt>
                <c:pt idx="3">
                  <c:v>-20</c:v>
                </c:pt>
                <c:pt idx="4">
                  <c:v>-19</c:v>
                </c:pt>
                <c:pt idx="5">
                  <c:v>-18</c:v>
                </c:pt>
                <c:pt idx="6">
                  <c:v>-17</c:v>
                </c:pt>
                <c:pt idx="7">
                  <c:v>-16</c:v>
                </c:pt>
                <c:pt idx="8">
                  <c:v>-15</c:v>
                </c:pt>
                <c:pt idx="9">
                  <c:v>-14</c:v>
                </c:pt>
                <c:pt idx="10">
                  <c:v>-13</c:v>
                </c:pt>
                <c:pt idx="11">
                  <c:v>-12</c:v>
                </c:pt>
                <c:pt idx="12">
                  <c:v>-11</c:v>
                </c:pt>
                <c:pt idx="13">
                  <c:v>-10</c:v>
                </c:pt>
                <c:pt idx="14">
                  <c:v>-9</c:v>
                </c:pt>
                <c:pt idx="15">
                  <c:v>-8</c:v>
                </c:pt>
                <c:pt idx="16">
                  <c:v>-7</c:v>
                </c:pt>
                <c:pt idx="17">
                  <c:v>-6</c:v>
                </c:pt>
                <c:pt idx="18">
                  <c:v>-5</c:v>
                </c:pt>
                <c:pt idx="19">
                  <c:v>-4</c:v>
                </c:pt>
                <c:pt idx="20">
                  <c:v>-3</c:v>
                </c:pt>
                <c:pt idx="21">
                  <c:v>-2</c:v>
                </c:pt>
                <c:pt idx="22">
                  <c:v>-1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</c:numCache>
            </c:numRef>
          </c:cat>
          <c:val>
            <c:numRef>
              <c:f>'Option Strategy Visualiser'!$C$60:$C$106</c:f>
              <c:numCache>
                <c:formatCode>0.00</c:formatCode>
                <c:ptCount val="46"/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  <c:pt idx="14">
                  <c:v>-300</c:v>
                </c:pt>
                <c:pt idx="15">
                  <c:v>-300</c:v>
                </c:pt>
                <c:pt idx="16">
                  <c:v>-300</c:v>
                </c:pt>
                <c:pt idx="17">
                  <c:v>-300</c:v>
                </c:pt>
                <c:pt idx="18">
                  <c:v>-300</c:v>
                </c:pt>
                <c:pt idx="19">
                  <c:v>-300</c:v>
                </c:pt>
                <c:pt idx="20">
                  <c:v>-300</c:v>
                </c:pt>
                <c:pt idx="21">
                  <c:v>-300</c:v>
                </c:pt>
                <c:pt idx="22">
                  <c:v>-300</c:v>
                </c:pt>
                <c:pt idx="23">
                  <c:v>-300</c:v>
                </c:pt>
                <c:pt idx="24">
                  <c:v>-300</c:v>
                </c:pt>
                <c:pt idx="25">
                  <c:v>-300</c:v>
                </c:pt>
                <c:pt idx="26">
                  <c:v>-300</c:v>
                </c:pt>
                <c:pt idx="27">
                  <c:v>-300</c:v>
                </c:pt>
                <c:pt idx="28">
                  <c:v>-300</c:v>
                </c:pt>
                <c:pt idx="29">
                  <c:v>-200</c:v>
                </c:pt>
                <c:pt idx="30">
                  <c:v>-100</c:v>
                </c:pt>
                <c:pt idx="31">
                  <c:v>0</c:v>
                </c:pt>
                <c:pt idx="32">
                  <c:v>100</c:v>
                </c:pt>
                <c:pt idx="33">
                  <c:v>200</c:v>
                </c:pt>
                <c:pt idx="34">
                  <c:v>300</c:v>
                </c:pt>
                <c:pt idx="35">
                  <c:v>400</c:v>
                </c:pt>
                <c:pt idx="36">
                  <c:v>500</c:v>
                </c:pt>
                <c:pt idx="37">
                  <c:v>600</c:v>
                </c:pt>
                <c:pt idx="38">
                  <c:v>700</c:v>
                </c:pt>
                <c:pt idx="39">
                  <c:v>800</c:v>
                </c:pt>
                <c:pt idx="40">
                  <c:v>900</c:v>
                </c:pt>
                <c:pt idx="41">
                  <c:v>1000</c:v>
                </c:pt>
                <c:pt idx="42">
                  <c:v>1100</c:v>
                </c:pt>
                <c:pt idx="43">
                  <c:v>1200</c:v>
                </c:pt>
                <c:pt idx="44">
                  <c:v>1300</c:v>
                </c:pt>
                <c:pt idx="45">
                  <c:v>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9B-4F32-BF42-7247EBB24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26224"/>
        <c:axId val="2010715184"/>
      </c:lineChart>
      <c:catAx>
        <c:axId val="201072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0715184"/>
        <c:crosses val="autoZero"/>
        <c:auto val="1"/>
        <c:lblAlgn val="ctr"/>
        <c:lblOffset val="100"/>
        <c:noMultiLvlLbl val="0"/>
      </c:catAx>
      <c:valAx>
        <c:axId val="201071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072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P/L</a:t>
            </a:r>
          </a:p>
        </c:rich>
      </c:tx>
      <c:layout>
        <c:manualLayout>
          <c:xMode val="edge"/>
          <c:yMode val="edge"/>
          <c:x val="0.47909572523352428"/>
          <c:y val="3.315921436654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1122987549755892"/>
          <c:y val="0.14382618743000206"/>
          <c:w val="0.69853648797492918"/>
          <c:h val="0.65019880235560235"/>
        </c:manualLayout>
      </c:layout>
      <c:lineChart>
        <c:grouping val="standard"/>
        <c:varyColors val="0"/>
        <c:ser>
          <c:idx val="0"/>
          <c:order val="0"/>
          <c:tx>
            <c:strRef>
              <c:f>'Option Strategy Visualiser'!$G$59</c:f>
              <c:strCache>
                <c:ptCount val="1"/>
                <c:pt idx="0">
                  <c:v>P/L </c:v>
                </c:pt>
              </c:strCache>
            </c:strRef>
          </c:tx>
          <c:spPr>
            <a:ln w="34925" cap="rnd">
              <a:solidFill>
                <a:srgbClr val="F67B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Visualiser'!$F$60:$F$105</c:f>
              <c:numCache>
                <c:formatCode>0.00</c:formatCode>
                <c:ptCount val="46"/>
                <c:pt idx="1">
                  <c:v>-22</c:v>
                </c:pt>
                <c:pt idx="2">
                  <c:v>-21</c:v>
                </c:pt>
                <c:pt idx="3">
                  <c:v>-20</c:v>
                </c:pt>
                <c:pt idx="4">
                  <c:v>-19</c:v>
                </c:pt>
                <c:pt idx="5">
                  <c:v>-18</c:v>
                </c:pt>
                <c:pt idx="6">
                  <c:v>-17</c:v>
                </c:pt>
                <c:pt idx="7">
                  <c:v>-16</c:v>
                </c:pt>
                <c:pt idx="8">
                  <c:v>-15</c:v>
                </c:pt>
                <c:pt idx="9">
                  <c:v>-14</c:v>
                </c:pt>
                <c:pt idx="10">
                  <c:v>-13</c:v>
                </c:pt>
                <c:pt idx="11">
                  <c:v>-12</c:v>
                </c:pt>
                <c:pt idx="12">
                  <c:v>-11</c:v>
                </c:pt>
                <c:pt idx="13">
                  <c:v>-10</c:v>
                </c:pt>
                <c:pt idx="14">
                  <c:v>-9</c:v>
                </c:pt>
                <c:pt idx="15">
                  <c:v>-8</c:v>
                </c:pt>
                <c:pt idx="16">
                  <c:v>-7</c:v>
                </c:pt>
                <c:pt idx="17">
                  <c:v>-6</c:v>
                </c:pt>
                <c:pt idx="18">
                  <c:v>-5</c:v>
                </c:pt>
                <c:pt idx="19">
                  <c:v>-4</c:v>
                </c:pt>
                <c:pt idx="20">
                  <c:v>-3</c:v>
                </c:pt>
                <c:pt idx="21">
                  <c:v>-2</c:v>
                </c:pt>
                <c:pt idx="22">
                  <c:v>-1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</c:numCache>
            </c:numRef>
          </c:cat>
          <c:val>
            <c:numRef>
              <c:f>'Option Strategy Visualiser'!$G$60:$G$105</c:f>
              <c:numCache>
                <c:formatCode>0.00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7-4A23-941D-39C5A94CC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728144"/>
        <c:axId val="2010720464"/>
      </c:lineChart>
      <c:catAx>
        <c:axId val="201072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0720464"/>
        <c:crosses val="autoZero"/>
        <c:auto val="1"/>
        <c:lblAlgn val="ctr"/>
        <c:lblOffset val="100"/>
        <c:noMultiLvlLbl val="0"/>
      </c:catAx>
      <c:valAx>
        <c:axId val="201072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072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P/L</a:t>
            </a:r>
          </a:p>
        </c:rich>
      </c:tx>
      <c:layout>
        <c:manualLayout>
          <c:xMode val="edge"/>
          <c:yMode val="edge"/>
          <c:x val="0.46450239408267319"/>
          <c:y val="5.39688994463922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'Option Strategy Visualiser'!$K$59</c:f>
              <c:strCache>
                <c:ptCount val="1"/>
                <c:pt idx="0">
                  <c:v>P/L </c:v>
                </c:pt>
              </c:strCache>
            </c:strRef>
          </c:tx>
          <c:spPr>
            <a:ln w="34925" cap="rnd">
              <a:solidFill>
                <a:srgbClr val="F67B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Visualiser'!$J$60:$J$105</c:f>
              <c:numCache>
                <c:formatCode>0.00</c:formatCode>
                <c:ptCount val="46"/>
                <c:pt idx="1">
                  <c:v>-22</c:v>
                </c:pt>
                <c:pt idx="2">
                  <c:v>-21</c:v>
                </c:pt>
                <c:pt idx="3">
                  <c:v>-20</c:v>
                </c:pt>
                <c:pt idx="4">
                  <c:v>-19</c:v>
                </c:pt>
                <c:pt idx="5">
                  <c:v>-18</c:v>
                </c:pt>
                <c:pt idx="6">
                  <c:v>-17</c:v>
                </c:pt>
                <c:pt idx="7">
                  <c:v>-16</c:v>
                </c:pt>
                <c:pt idx="8">
                  <c:v>-15</c:v>
                </c:pt>
                <c:pt idx="9">
                  <c:v>-14</c:v>
                </c:pt>
                <c:pt idx="10">
                  <c:v>-13</c:v>
                </c:pt>
                <c:pt idx="11">
                  <c:v>-12</c:v>
                </c:pt>
                <c:pt idx="12">
                  <c:v>-11</c:v>
                </c:pt>
                <c:pt idx="13">
                  <c:v>-10</c:v>
                </c:pt>
                <c:pt idx="14">
                  <c:v>-9</c:v>
                </c:pt>
                <c:pt idx="15">
                  <c:v>-8</c:v>
                </c:pt>
                <c:pt idx="16">
                  <c:v>-7</c:v>
                </c:pt>
                <c:pt idx="17">
                  <c:v>-6</c:v>
                </c:pt>
                <c:pt idx="18">
                  <c:v>-5</c:v>
                </c:pt>
                <c:pt idx="19">
                  <c:v>-4</c:v>
                </c:pt>
                <c:pt idx="20">
                  <c:v>-3</c:v>
                </c:pt>
                <c:pt idx="21">
                  <c:v>-2</c:v>
                </c:pt>
                <c:pt idx="22">
                  <c:v>-1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</c:numCache>
            </c:numRef>
          </c:cat>
          <c:val>
            <c:numRef>
              <c:f>'Option Strategy Visualiser'!$K$60:$K$105</c:f>
              <c:numCache>
                <c:formatCode>0.00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1-4C7B-8CE2-9730EA49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8640848"/>
        <c:axId val="318651408"/>
      </c:lineChart>
      <c:catAx>
        <c:axId val="31864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8651408"/>
        <c:crosses val="autoZero"/>
        <c:auto val="1"/>
        <c:lblAlgn val="ctr"/>
        <c:lblOffset val="100"/>
        <c:noMultiLvlLbl val="0"/>
      </c:catAx>
      <c:valAx>
        <c:axId val="31865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864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P/L</a:t>
            </a:r>
          </a:p>
        </c:rich>
      </c:tx>
      <c:layout>
        <c:manualLayout>
          <c:xMode val="edge"/>
          <c:yMode val="edge"/>
          <c:x val="0.45961665232187721"/>
          <c:y val="4.32789008825727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'Option Strategy Visualiser'!$O$59</c:f>
              <c:strCache>
                <c:ptCount val="1"/>
                <c:pt idx="0">
                  <c:v>P/L </c:v>
                </c:pt>
              </c:strCache>
            </c:strRef>
          </c:tx>
          <c:spPr>
            <a:ln w="34925" cap="rnd">
              <a:solidFill>
                <a:srgbClr val="F67B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Visualiser'!$N$60:$N$105</c:f>
              <c:numCache>
                <c:formatCode>0.00</c:formatCode>
                <c:ptCount val="46"/>
                <c:pt idx="1">
                  <c:v>-22</c:v>
                </c:pt>
                <c:pt idx="2">
                  <c:v>-21</c:v>
                </c:pt>
                <c:pt idx="3">
                  <c:v>-20</c:v>
                </c:pt>
                <c:pt idx="4">
                  <c:v>-19</c:v>
                </c:pt>
                <c:pt idx="5">
                  <c:v>-18</c:v>
                </c:pt>
                <c:pt idx="6">
                  <c:v>-17</c:v>
                </c:pt>
                <c:pt idx="7">
                  <c:v>-16</c:v>
                </c:pt>
                <c:pt idx="8">
                  <c:v>-15</c:v>
                </c:pt>
                <c:pt idx="9">
                  <c:v>-14</c:v>
                </c:pt>
                <c:pt idx="10">
                  <c:v>-13</c:v>
                </c:pt>
                <c:pt idx="11">
                  <c:v>-12</c:v>
                </c:pt>
                <c:pt idx="12">
                  <c:v>-11</c:v>
                </c:pt>
                <c:pt idx="13">
                  <c:v>-10</c:v>
                </c:pt>
                <c:pt idx="14">
                  <c:v>-9</c:v>
                </c:pt>
                <c:pt idx="15">
                  <c:v>-8</c:v>
                </c:pt>
                <c:pt idx="16">
                  <c:v>-7</c:v>
                </c:pt>
                <c:pt idx="17">
                  <c:v>-6</c:v>
                </c:pt>
                <c:pt idx="18">
                  <c:v>-5</c:v>
                </c:pt>
                <c:pt idx="19">
                  <c:v>-4</c:v>
                </c:pt>
                <c:pt idx="20">
                  <c:v>-3</c:v>
                </c:pt>
                <c:pt idx="21">
                  <c:v>-2</c:v>
                </c:pt>
                <c:pt idx="22">
                  <c:v>-1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</c:numCache>
            </c:numRef>
          </c:cat>
          <c:val>
            <c:numRef>
              <c:f>'Option Strategy Visualiser'!$O$60:$O$105</c:f>
              <c:numCache>
                <c:formatCode>0.00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4-40B9-8ABC-1DBC4D994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006400"/>
        <c:axId val="191001120"/>
      </c:lineChart>
      <c:catAx>
        <c:axId val="19100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1120"/>
        <c:crosses val="autoZero"/>
        <c:auto val="1"/>
        <c:lblAlgn val="ctr"/>
        <c:lblOffset val="100"/>
        <c:noMultiLvlLbl val="0"/>
      </c:catAx>
      <c:valAx>
        <c:axId val="1910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P/L</a:t>
            </a:r>
          </a:p>
        </c:rich>
      </c:tx>
      <c:layout>
        <c:manualLayout>
          <c:xMode val="edge"/>
          <c:yMode val="edge"/>
          <c:x val="0.47916579588108982"/>
          <c:y val="4.3811444105883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'Option Strategy Visualiser'!$W$59</c:f>
              <c:strCache>
                <c:ptCount val="1"/>
                <c:pt idx="0">
                  <c:v>P/L </c:v>
                </c:pt>
              </c:strCache>
            </c:strRef>
          </c:tx>
          <c:spPr>
            <a:ln w="34925" cap="rnd">
              <a:solidFill>
                <a:srgbClr val="F67B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Visualiser'!$V$60:$V$105</c:f>
              <c:numCache>
                <c:formatCode>0.00</c:formatCode>
                <c:ptCount val="46"/>
                <c:pt idx="1">
                  <c:v>-22</c:v>
                </c:pt>
                <c:pt idx="2">
                  <c:v>-21</c:v>
                </c:pt>
                <c:pt idx="3">
                  <c:v>-20</c:v>
                </c:pt>
                <c:pt idx="4">
                  <c:v>-19</c:v>
                </c:pt>
                <c:pt idx="5">
                  <c:v>-18</c:v>
                </c:pt>
                <c:pt idx="6">
                  <c:v>-17</c:v>
                </c:pt>
                <c:pt idx="7">
                  <c:v>-16</c:v>
                </c:pt>
                <c:pt idx="8">
                  <c:v>-15</c:v>
                </c:pt>
                <c:pt idx="9">
                  <c:v>-14</c:v>
                </c:pt>
                <c:pt idx="10">
                  <c:v>-13</c:v>
                </c:pt>
                <c:pt idx="11">
                  <c:v>-12</c:v>
                </c:pt>
                <c:pt idx="12">
                  <c:v>-11</c:v>
                </c:pt>
                <c:pt idx="13">
                  <c:v>-10</c:v>
                </c:pt>
                <c:pt idx="14">
                  <c:v>-9</c:v>
                </c:pt>
                <c:pt idx="15">
                  <c:v>-8</c:v>
                </c:pt>
                <c:pt idx="16">
                  <c:v>-7</c:v>
                </c:pt>
                <c:pt idx="17">
                  <c:v>-6</c:v>
                </c:pt>
                <c:pt idx="18">
                  <c:v>-5</c:v>
                </c:pt>
                <c:pt idx="19">
                  <c:v>-4</c:v>
                </c:pt>
                <c:pt idx="20">
                  <c:v>-3</c:v>
                </c:pt>
                <c:pt idx="21">
                  <c:v>-2</c:v>
                </c:pt>
                <c:pt idx="22">
                  <c:v>-1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</c:numCache>
            </c:numRef>
          </c:cat>
          <c:val>
            <c:numRef>
              <c:f>'Option Strategy Visualiser'!$W$60:$W$105</c:f>
              <c:numCache>
                <c:formatCode>0.00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F-4C75-8C16-8F8FEA07F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523056"/>
        <c:axId val="1652528816"/>
      </c:lineChart>
      <c:catAx>
        <c:axId val="1652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528816"/>
        <c:crosses val="autoZero"/>
        <c:auto val="1"/>
        <c:lblAlgn val="ctr"/>
        <c:lblOffset val="100"/>
        <c:noMultiLvlLbl val="0"/>
      </c:catAx>
      <c:valAx>
        <c:axId val="165252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52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FFC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2800" u="sng">
                <a:solidFill>
                  <a:srgbClr val="FF3E11"/>
                </a:solidFill>
              </a:rPr>
              <a:t>Profit/Loss</a:t>
            </a:r>
          </a:p>
        </c:rich>
      </c:tx>
      <c:layout>
        <c:manualLayout>
          <c:xMode val="edge"/>
          <c:yMode val="edge"/>
          <c:x val="0.44594871049530621"/>
          <c:y val="2.165555456785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FFC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'Option Strategy Visualiser'!$D$2</c:f>
              <c:strCache>
                <c:ptCount val="1"/>
                <c:pt idx="0">
                  <c:v> TSLA </c:v>
                </c:pt>
              </c:strCache>
            </c:strRef>
          </c:tx>
          <c:spPr>
            <a:ln w="34925" cap="rnd">
              <a:solidFill>
                <a:srgbClr val="FF33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Visualiser'!$B$9:$B$53</c:f>
              <c:numCache>
                <c:formatCode>0.00</c:formatCode>
                <c:ptCount val="45"/>
                <c:pt idx="2">
                  <c:v>-20</c:v>
                </c:pt>
                <c:pt idx="3">
                  <c:v>-19</c:v>
                </c:pt>
                <c:pt idx="4">
                  <c:v>-18</c:v>
                </c:pt>
                <c:pt idx="5">
                  <c:v>-17</c:v>
                </c:pt>
                <c:pt idx="6">
                  <c:v>-16</c:v>
                </c:pt>
                <c:pt idx="7">
                  <c:v>-15</c:v>
                </c:pt>
                <c:pt idx="8">
                  <c:v>-14</c:v>
                </c:pt>
                <c:pt idx="9">
                  <c:v>-13</c:v>
                </c:pt>
                <c:pt idx="10">
                  <c:v>-12</c:v>
                </c:pt>
                <c:pt idx="11">
                  <c:v>-11</c:v>
                </c:pt>
                <c:pt idx="12">
                  <c:v>-10</c:v>
                </c:pt>
                <c:pt idx="13">
                  <c:v>-9</c:v>
                </c:pt>
                <c:pt idx="14">
                  <c:v>-8</c:v>
                </c:pt>
                <c:pt idx="15">
                  <c:v>-7</c:v>
                </c:pt>
                <c:pt idx="16">
                  <c:v>-6</c:v>
                </c:pt>
                <c:pt idx="17">
                  <c:v>-5</c:v>
                </c:pt>
                <c:pt idx="18">
                  <c:v>-4</c:v>
                </c:pt>
                <c:pt idx="19">
                  <c:v>-3</c:v>
                </c:pt>
                <c:pt idx="20">
                  <c:v>-2</c:v>
                </c:pt>
                <c:pt idx="21">
                  <c:v>-1</c:v>
                </c:pt>
                <c:pt idx="22">
                  <c:v>0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17</c:v>
                </c:pt>
                <c:pt idx="40">
                  <c:v>18</c:v>
                </c:pt>
                <c:pt idx="41">
                  <c:v>19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</c:numCache>
            </c:numRef>
          </c:cat>
          <c:val>
            <c:numRef>
              <c:f>'Option Strategy Visualiser'!$D$9:$D$53</c:f>
              <c:numCache>
                <c:formatCode>0.00</c:formatCode>
                <c:ptCount val="45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  <c:pt idx="14">
                  <c:v>-300</c:v>
                </c:pt>
                <c:pt idx="15">
                  <c:v>-300</c:v>
                </c:pt>
                <c:pt idx="16">
                  <c:v>-300</c:v>
                </c:pt>
                <c:pt idx="17">
                  <c:v>-300</c:v>
                </c:pt>
                <c:pt idx="18">
                  <c:v>-300</c:v>
                </c:pt>
                <c:pt idx="19">
                  <c:v>-300</c:v>
                </c:pt>
                <c:pt idx="20">
                  <c:v>-300</c:v>
                </c:pt>
                <c:pt idx="21">
                  <c:v>-300</c:v>
                </c:pt>
                <c:pt idx="22">
                  <c:v>-300</c:v>
                </c:pt>
                <c:pt idx="23">
                  <c:v>-300</c:v>
                </c:pt>
                <c:pt idx="24">
                  <c:v>-300</c:v>
                </c:pt>
                <c:pt idx="25">
                  <c:v>-300</c:v>
                </c:pt>
                <c:pt idx="26">
                  <c:v>-300</c:v>
                </c:pt>
                <c:pt idx="27">
                  <c:v>-300</c:v>
                </c:pt>
                <c:pt idx="28">
                  <c:v>-200</c:v>
                </c:pt>
                <c:pt idx="29">
                  <c:v>-100</c:v>
                </c:pt>
                <c:pt idx="30">
                  <c:v>0</c:v>
                </c:pt>
                <c:pt idx="31">
                  <c:v>100</c:v>
                </c:pt>
                <c:pt idx="32">
                  <c:v>200</c:v>
                </c:pt>
                <c:pt idx="33">
                  <c:v>300</c:v>
                </c:pt>
                <c:pt idx="34">
                  <c:v>400</c:v>
                </c:pt>
                <c:pt idx="35">
                  <c:v>500</c:v>
                </c:pt>
                <c:pt idx="36">
                  <c:v>600</c:v>
                </c:pt>
                <c:pt idx="37">
                  <c:v>700</c:v>
                </c:pt>
                <c:pt idx="38">
                  <c:v>800</c:v>
                </c:pt>
                <c:pt idx="39">
                  <c:v>900</c:v>
                </c:pt>
                <c:pt idx="40">
                  <c:v>1000</c:v>
                </c:pt>
                <c:pt idx="41">
                  <c:v>1100</c:v>
                </c:pt>
                <c:pt idx="42">
                  <c:v>1200</c:v>
                </c:pt>
                <c:pt idx="43">
                  <c:v>1300</c:v>
                </c:pt>
                <c:pt idx="44">
                  <c:v>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2-44D4-B9B9-3483B05A0B41}"/>
            </c:ext>
          </c:extLst>
        </c:ser>
        <c:ser>
          <c:idx val="1"/>
          <c:order val="1"/>
          <c:tx>
            <c:strRef>
              <c:f>'Option Strategy Visualiser'!$E$8</c:f>
              <c:strCache>
                <c:ptCount val="1"/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Visualiser'!$B$9:$B$53</c:f>
              <c:numCache>
                <c:formatCode>0.00</c:formatCode>
                <c:ptCount val="45"/>
                <c:pt idx="2">
                  <c:v>-20</c:v>
                </c:pt>
                <c:pt idx="3">
                  <c:v>-19</c:v>
                </c:pt>
                <c:pt idx="4">
                  <c:v>-18</c:v>
                </c:pt>
                <c:pt idx="5">
                  <c:v>-17</c:v>
                </c:pt>
                <c:pt idx="6">
                  <c:v>-16</c:v>
                </c:pt>
                <c:pt idx="7">
                  <c:v>-15</c:v>
                </c:pt>
                <c:pt idx="8">
                  <c:v>-14</c:v>
                </c:pt>
                <c:pt idx="9">
                  <c:v>-13</c:v>
                </c:pt>
                <c:pt idx="10">
                  <c:v>-12</c:v>
                </c:pt>
                <c:pt idx="11">
                  <c:v>-11</c:v>
                </c:pt>
                <c:pt idx="12">
                  <c:v>-10</c:v>
                </c:pt>
                <c:pt idx="13">
                  <c:v>-9</c:v>
                </c:pt>
                <c:pt idx="14">
                  <c:v>-8</c:v>
                </c:pt>
                <c:pt idx="15">
                  <c:v>-7</c:v>
                </c:pt>
                <c:pt idx="16">
                  <c:v>-6</c:v>
                </c:pt>
                <c:pt idx="17">
                  <c:v>-5</c:v>
                </c:pt>
                <c:pt idx="18">
                  <c:v>-4</c:v>
                </c:pt>
                <c:pt idx="19">
                  <c:v>-3</c:v>
                </c:pt>
                <c:pt idx="20">
                  <c:v>-2</c:v>
                </c:pt>
                <c:pt idx="21">
                  <c:v>-1</c:v>
                </c:pt>
                <c:pt idx="22">
                  <c:v>0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17</c:v>
                </c:pt>
                <c:pt idx="40">
                  <c:v>18</c:v>
                </c:pt>
                <c:pt idx="41">
                  <c:v>19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</c:numCache>
            </c:numRef>
          </c:cat>
          <c:val>
            <c:numRef>
              <c:f>'Option Strategy Visualiser'!$E$9:$E$53</c:f>
              <c:numCache>
                <c:formatCode>General</c:formatCode>
                <c:ptCount val="45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12-44D4-B9B9-3483B05A0B41}"/>
            </c:ext>
          </c:extLst>
        </c:ser>
        <c:ser>
          <c:idx val="2"/>
          <c:order val="2"/>
          <c:tx>
            <c:strRef>
              <c:f>'Option Strategy Visualiser'!$F$8</c:f>
              <c:strCache>
                <c:ptCount val="1"/>
              </c:strCache>
            </c:strRef>
          </c:tx>
          <c:spPr>
            <a:ln w="34925" cap="rnd">
              <a:solidFill>
                <a:schemeClr val="accent6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Visualiser'!$B$9:$B$53</c:f>
              <c:numCache>
                <c:formatCode>0.00</c:formatCode>
                <c:ptCount val="45"/>
                <c:pt idx="2">
                  <c:v>-20</c:v>
                </c:pt>
                <c:pt idx="3">
                  <c:v>-19</c:v>
                </c:pt>
                <c:pt idx="4">
                  <c:v>-18</c:v>
                </c:pt>
                <c:pt idx="5">
                  <c:v>-17</c:v>
                </c:pt>
                <c:pt idx="6">
                  <c:v>-16</c:v>
                </c:pt>
                <c:pt idx="7">
                  <c:v>-15</c:v>
                </c:pt>
                <c:pt idx="8">
                  <c:v>-14</c:v>
                </c:pt>
                <c:pt idx="9">
                  <c:v>-13</c:v>
                </c:pt>
                <c:pt idx="10">
                  <c:v>-12</c:v>
                </c:pt>
                <c:pt idx="11">
                  <c:v>-11</c:v>
                </c:pt>
                <c:pt idx="12">
                  <c:v>-10</c:v>
                </c:pt>
                <c:pt idx="13">
                  <c:v>-9</c:v>
                </c:pt>
                <c:pt idx="14">
                  <c:v>-8</c:v>
                </c:pt>
                <c:pt idx="15">
                  <c:v>-7</c:v>
                </c:pt>
                <c:pt idx="16">
                  <c:v>-6</c:v>
                </c:pt>
                <c:pt idx="17">
                  <c:v>-5</c:v>
                </c:pt>
                <c:pt idx="18">
                  <c:v>-4</c:v>
                </c:pt>
                <c:pt idx="19">
                  <c:v>-3</c:v>
                </c:pt>
                <c:pt idx="20">
                  <c:v>-2</c:v>
                </c:pt>
                <c:pt idx="21">
                  <c:v>-1</c:v>
                </c:pt>
                <c:pt idx="22">
                  <c:v>0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17</c:v>
                </c:pt>
                <c:pt idx="40">
                  <c:v>18</c:v>
                </c:pt>
                <c:pt idx="41">
                  <c:v>19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</c:numCache>
            </c:numRef>
          </c:cat>
          <c:val>
            <c:numRef>
              <c:f>'Option Strategy Visualiser'!$F$9:$F$53</c:f>
              <c:numCache>
                <c:formatCode>General</c:formatCode>
                <c:ptCount val="4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B-43CD-B7AC-EF2DE6E52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lt1">
                    <a:lumMod val="95000"/>
                    <a:alpha val="54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>
                <a:solidFill>
                  <a:schemeClr val="lt1">
                    <a:lumMod val="95000"/>
                    <a:alpha val="54000"/>
                  </a:schemeClr>
                </a:solidFill>
              </a:ln>
              <a:effectLst/>
            </c:spPr>
          </c:downBars>
        </c:upDownBars>
        <c:smooth val="0"/>
        <c:axId val="190993920"/>
        <c:axId val="191007840"/>
      </c:lineChart>
      <c:catAx>
        <c:axId val="19099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4">
                  <a:lumMod val="20000"/>
                  <a:lumOff val="80000"/>
                  <a:alpha val="27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u="sng"/>
                  <a:t>UNDERLYING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22225" cap="flat" cmpd="sng" algn="ctr">
            <a:solidFill>
              <a:srgbClr val="DEAC2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7840"/>
        <c:crosses val="autoZero"/>
        <c:auto val="1"/>
        <c:lblAlgn val="ctr"/>
        <c:lblOffset val="100"/>
        <c:noMultiLvlLbl val="0"/>
      </c:catAx>
      <c:valAx>
        <c:axId val="19100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4">
                  <a:lumMod val="40000"/>
                  <a:lumOff val="60000"/>
                  <a:alpha val="4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u="sng"/>
                  <a:t>PROFIT/LOSS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22225">
            <a:solidFill>
              <a:srgbClr val="DEAC2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99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>
          <a:solidFill>
            <a:srgbClr val="FFC000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P/L</a:t>
            </a:r>
          </a:p>
        </c:rich>
      </c:tx>
      <c:layout>
        <c:manualLayout>
          <c:xMode val="edge"/>
          <c:yMode val="edge"/>
          <c:x val="0.45453967616887381"/>
          <c:y val="3.8052924736067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'Option Strategy Visualiser'!$S$59</c:f>
              <c:strCache>
                <c:ptCount val="1"/>
                <c:pt idx="0">
                  <c:v>P/L </c:v>
                </c:pt>
              </c:strCache>
            </c:strRef>
          </c:tx>
          <c:spPr>
            <a:ln w="19050" cap="rnd">
              <a:solidFill>
                <a:srgbClr val="F67B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'Option Strategy Visualiser'!$N$60:$N$105</c:f>
              <c:numCache>
                <c:formatCode>0.00</c:formatCode>
                <c:ptCount val="46"/>
                <c:pt idx="1">
                  <c:v>-22</c:v>
                </c:pt>
                <c:pt idx="2">
                  <c:v>-21</c:v>
                </c:pt>
                <c:pt idx="3">
                  <c:v>-20</c:v>
                </c:pt>
                <c:pt idx="4">
                  <c:v>-19</c:v>
                </c:pt>
                <c:pt idx="5">
                  <c:v>-18</c:v>
                </c:pt>
                <c:pt idx="6">
                  <c:v>-17</c:v>
                </c:pt>
                <c:pt idx="7">
                  <c:v>-16</c:v>
                </c:pt>
                <c:pt idx="8">
                  <c:v>-15</c:v>
                </c:pt>
                <c:pt idx="9">
                  <c:v>-14</c:v>
                </c:pt>
                <c:pt idx="10">
                  <c:v>-13</c:v>
                </c:pt>
                <c:pt idx="11">
                  <c:v>-12</c:v>
                </c:pt>
                <c:pt idx="12">
                  <c:v>-11</c:v>
                </c:pt>
                <c:pt idx="13">
                  <c:v>-10</c:v>
                </c:pt>
                <c:pt idx="14">
                  <c:v>-9</c:v>
                </c:pt>
                <c:pt idx="15">
                  <c:v>-8</c:v>
                </c:pt>
                <c:pt idx="16">
                  <c:v>-7</c:v>
                </c:pt>
                <c:pt idx="17">
                  <c:v>-6</c:v>
                </c:pt>
                <c:pt idx="18">
                  <c:v>-5</c:v>
                </c:pt>
                <c:pt idx="19">
                  <c:v>-4</c:v>
                </c:pt>
                <c:pt idx="20">
                  <c:v>-3</c:v>
                </c:pt>
                <c:pt idx="21">
                  <c:v>-2</c:v>
                </c:pt>
                <c:pt idx="22">
                  <c:v>-1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</c:numCache>
            </c:numRef>
          </c:cat>
          <c:val>
            <c:numRef>
              <c:f>'Option Strategy Visualiser'!$S$60:$S$105</c:f>
              <c:numCache>
                <c:formatCode>0.00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6-4B70-82A7-D99E6C223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006400"/>
        <c:axId val="191001120"/>
      </c:lineChart>
      <c:catAx>
        <c:axId val="19100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1120"/>
        <c:crosses val="autoZero"/>
        <c:auto val="1"/>
        <c:lblAlgn val="ctr"/>
        <c:lblOffset val="100"/>
        <c:noMultiLvlLbl val="0"/>
      </c:catAx>
      <c:valAx>
        <c:axId val="1910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106</xdr:row>
      <xdr:rowOff>26559</xdr:rowOff>
    </xdr:from>
    <xdr:to>
      <xdr:col>3</xdr:col>
      <xdr:colOff>786713</xdr:colOff>
      <xdr:row>118</xdr:row>
      <xdr:rowOff>129654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2DC2B4-2379-3B57-34EF-D03E6BD5C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801159</xdr:colOff>
      <xdr:row>106</xdr:row>
      <xdr:rowOff>81700</xdr:rowOff>
    </xdr:from>
    <xdr:to>
      <xdr:col>7</xdr:col>
      <xdr:colOff>470862</xdr:colOff>
      <xdr:row>119</xdr:row>
      <xdr:rowOff>2603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02F2D90-A4B7-3E12-08A1-37CD0EE3E0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76592</xdr:colOff>
      <xdr:row>106</xdr:row>
      <xdr:rowOff>57150</xdr:rowOff>
    </xdr:from>
    <xdr:to>
      <xdr:col>11</xdr:col>
      <xdr:colOff>561744</xdr:colOff>
      <xdr:row>119</xdr:row>
      <xdr:rowOff>414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F3788EE-6D61-1E65-A779-66E8C764C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52081</xdr:colOff>
      <xdr:row>106</xdr:row>
      <xdr:rowOff>24619</xdr:rowOff>
    </xdr:from>
    <xdr:to>
      <xdr:col>15</xdr:col>
      <xdr:colOff>536511</xdr:colOff>
      <xdr:row>118</xdr:row>
      <xdr:rowOff>168787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E9125F-FEDE-AB3D-1044-E4B7FE218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</xdr:colOff>
      <xdr:row>106</xdr:row>
      <xdr:rowOff>59219</xdr:rowOff>
    </xdr:from>
    <xdr:to>
      <xdr:col>23</xdr:col>
      <xdr:colOff>542891</xdr:colOff>
      <xdr:row>119</xdr:row>
      <xdr:rowOff>17859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21FC9E9-744A-1624-7A61-F033F0A207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162581</xdr:colOff>
      <xdr:row>9</xdr:row>
      <xdr:rowOff>34509</xdr:rowOff>
    </xdr:from>
    <xdr:to>
      <xdr:col>21</xdr:col>
      <xdr:colOff>490576</xdr:colOff>
      <xdr:row>42</xdr:row>
      <xdr:rowOff>104813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DF4770E-4A9C-19CE-BDC1-DD7C70751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44825</xdr:colOff>
      <xdr:row>106</xdr:row>
      <xdr:rowOff>11205</xdr:rowOff>
    </xdr:from>
    <xdr:to>
      <xdr:col>19</xdr:col>
      <xdr:colOff>529255</xdr:colOff>
      <xdr:row>118</xdr:row>
      <xdr:rowOff>155373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97DF1B-7196-467B-A55D-E9599A45D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417699</xdr:colOff>
      <xdr:row>5</xdr:row>
      <xdr:rowOff>20730</xdr:rowOff>
    </xdr:from>
    <xdr:to>
      <xdr:col>5</xdr:col>
      <xdr:colOff>398849</xdr:colOff>
      <xdr:row>8</xdr:row>
      <xdr:rowOff>31935</xdr:rowOff>
    </xdr:to>
    <xdr:pic macro="[0]!Sheet7.Reset_Inputs">
      <xdr:nvPicPr>
        <xdr:cNvPr id="4" name="Graphic 3" descr="Garbage with solid fill">
          <a:extLst>
            <a:ext uri="{FF2B5EF4-FFF2-40B4-BE49-F238E27FC236}">
              <a16:creationId xmlns:a16="http://schemas.microsoft.com/office/drawing/2014/main" id="{51F3AB30-92B1-97FD-A29E-714775737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882993" y="1062877"/>
          <a:ext cx="586268" cy="6163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CD0609-0C34-46F5-B99B-EA0E25FF98AD}" name="Table13" displayName="Table13" ref="B59:C106" totalsRowCount="1" headerRowDxfId="97" totalsRowDxfId="96" totalsRowBorderDxfId="95">
  <tableColumns count="2">
    <tableColumn id="1" xr3:uid="{F4E43CB2-552B-4343-9E17-2C1745EF94E8}" name="UNDRLYNG PX" totalsRowFunction="custom" dataDxfId="94" totalsRowDxfId="93">
      <totalsRowFormula>$Y$18</totalsRowFormula>
    </tableColumn>
    <tableColumn id="2" xr3:uid="{16F9DA63-B83A-4F18-B76C-E5C32C6E2BAF}" name="P/L " totalsRowFunction="custom" dataDxfId="92" totalsRowDxfId="91">
      <calculatedColumnFormula>IF(I$4="CALL",(IF(B60-(I$6+I$7)&lt;-I$7,-I$7,B60-(I$6+I$7)))*I$5,(IF((I$6-I$7)-B60&lt;-I$7,-I$7,(I$6-I$7)-B60))*I$5)</calculatedColumnFormula>
      <totalsRowFormula>IF(I$4="CALL",(IF(B106-(I$6+I$7)&lt;-I$7,-I$7,B106-(I$6+I$7)))*(I$5*100),(IF((I$6-I$7)-B106&lt;-I$7,-I$7,(I$6-I$7)-B106))*(I$5*100))</totalsRow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0246A6-34EC-4EDD-89D7-71A7AD56597A}" name="Table134" displayName="Table134" ref="J59:K106" totalsRowCount="1" headerRowDxfId="90" totalsRowDxfId="89" totalsRowBorderDxfId="88">
  <tableColumns count="2">
    <tableColumn id="1" xr3:uid="{6E4F70D2-EF71-4DEE-87AA-8C88E32341F1}" name="UNDRLYNG PX" totalsRowFunction="custom" dataDxfId="87" totalsRowDxfId="86">
      <totalsRowFormula>$Y$18</totalsRowFormula>
    </tableColumn>
    <tableColumn id="2" xr3:uid="{5731686A-3E70-4B2F-B950-2D498E1E9616}" name="P/L " totalsRowFunction="custom" dataDxfId="85" totalsRowDxfId="84">
      <calculatedColumnFormula>IF(Q$4="CALL",(IF(J60-(Q$6+Q$7)&lt;-Q$7,-Q$7,J60-(Q$6+Q$7)))*(Q$5*100),(IF((Q$6-Q$7)-J60&lt;-Q$7,-Q$7,(Q$6-Q$7)-J60))*(Q$5*100))</calculatedColumnFormula>
      <totalsRowFormula>IF(Q$4="CALL",(IF(J106-(Q$6+Q$7)&lt;-Q$7,-Q$7,J106-(Q$6+Q$7)))*(Q$5*100),(IF((Q$6-Q$7)-J106&lt;-Q$7,-Q$7,(Q$6-Q$7)-J106))*(Q$5*100))</totalsRow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B30600-F94F-473D-BACB-091B3AC79DBA}" name="Table135" displayName="Table135" ref="N59:O106" totalsRowCount="1" headerRowDxfId="83" totalsRowDxfId="82" totalsRowBorderDxfId="81">
  <tableColumns count="2">
    <tableColumn id="1" xr3:uid="{6A678B58-EC5C-48DB-A883-21036DC2C856}" name="UNDRLYNG PX" totalsRowFunction="custom" dataDxfId="80" totalsRowDxfId="79">
      <totalsRowFormula>$Y$18</totalsRowFormula>
    </tableColumn>
    <tableColumn id="2" xr3:uid="{8C4C3726-0693-4AB4-B8B5-F03595888391}" name="P/L " totalsRowFunction="custom" dataDxfId="78" totalsRowDxfId="77">
      <calculatedColumnFormula>IF(U$4="CALL",(IF(N60-(U$6+U$7)&lt;-U$7,-U$7,N60-(U$6+U$7)))*U$5,(IF((U$6-U$7)-N60&lt;-U$7,-U$7,(U$6-U$7)-N60))*U$5)</calculatedColumnFormula>
      <totalsRowFormula>IF(U$4="CALL",(IF(N106-(U$6+U$7)&lt;-U$7,-U$7,N106-(U$6+U$7)))*(U$5*100),(IF((U$6-U$7)-N106&lt;-U$7,-U$7,(U$6-U$7)-N106))*(U$5*100))</totalsRow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2603D5-D1CF-4E8A-8B9F-DE017E526A67}" name="Table136" displayName="Table136" ref="V59:W106" totalsRowCount="1" headerRowDxfId="76" totalsRowDxfId="75" totalsRowBorderDxfId="74">
  <tableColumns count="2">
    <tableColumn id="1" xr3:uid="{C1417334-4E52-47F1-ABFA-CEBAF108C3E1}" name="UNDRLYNG PX" totalsRowFunction="custom" dataDxfId="73" totalsRowDxfId="72">
      <totalsRowFormula>$Y$18</totalsRowFormula>
    </tableColumn>
    <tableColumn id="2" xr3:uid="{40F9C682-3A3C-4F9B-A301-02E4C8E49203}" name="P/L " totalsRowFunction="custom" dataDxfId="71" totalsRowDxfId="70">
      <calculatedColumnFormula>IF(Y$10="CALL",(IF(V60-(Y$12+Y$13)&lt;-Y$13,-Y$13,V60-(Y$12+Y$13)))*Y$11,(IF((Y$12-Y$13)-V60&lt;-Y$13,-Y$13,(Y$12-Y$13)-V60))*Y$11)</calculatedColumnFormula>
      <totalsRowFormula>(V106-Y$12)*$Y$11</totalsRow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BD265D-353D-417B-91AF-2BBFBA654483}" name="Table137" displayName="Table137" ref="Y59:Z106" totalsRowCount="1" headerRowDxfId="69" totalsRowDxfId="68" totalsRowBorderDxfId="67">
  <tableColumns count="2">
    <tableColumn id="1" xr3:uid="{40CAD346-DC49-4E89-84E8-5ACAFC7ADDD1}" name="UNDRLYNG PX" totalsRowFunction="custom" dataDxfId="66" totalsRowDxfId="65">
      <totalsRowFormula>$Y$18</totalsRowFormula>
    </tableColumn>
    <tableColumn id="2" xr3:uid="{3FFA9ECF-340E-46FA-9599-7CCB34F33BA2}" name="P/L " totalsRowFunction="custom" dataDxfId="64" totalsRowDxfId="63">
      <calculatedColumnFormula>IF(#REF!="CALL",(IF(Y60-(#REF!+#REF!)&lt;-#REF!,-#REF!,Y60-(#REF!+#REF!)))*#REF!,(IF((#REF!-#REF!)-Y60&lt;-#REF!,-#REF!,(#REF!-#REF!)-Y60))*#REF!)</calculatedColumnFormula>
      <totalsRowFormula>C106+G106+K106+O106+W106</totalsRow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DC09D7-1024-4DA3-AAED-C87F179337E2}" name="Table133" displayName="Table133" ref="F59:G106" totalsRowCount="1" headerRowDxfId="62" totalsRowDxfId="61" totalsRowBorderDxfId="60">
  <tableColumns count="2">
    <tableColumn id="1" xr3:uid="{E2205884-4EE3-430D-A088-F00DE3A51BCD}" name="UNDRLNG PX" totalsRowFunction="custom" dataDxfId="59" totalsRowDxfId="58">
      <totalsRowFormula>$Y$18</totalsRowFormula>
    </tableColumn>
    <tableColumn id="2" xr3:uid="{2B9C7D90-2548-448A-93E3-4A50F2752674}" name="P/L " totalsRowFunction="custom" dataDxfId="57" totalsRowDxfId="56">
      <calculatedColumnFormula>IF(M$4="CALL",(IF(F60-(M$6+M$7)&lt;-M$7,-M$7,F60-(M$6+M$7)))*(M$5*100),(IF((M$6-M$7)-F60&lt;-M$7,-M$7,(M$6-M$7)-F60))*(M$5*100))</calculatedColumnFormula>
      <totalsRowFormula>IF(M$4="CALL",(IF(F106-(M$6+M$7)&lt;-M$7,-M$7,F106-(M$6+M$7)))*(M$5*100),(IF((M$6-M$7)-F106&lt;-M$7,-M$7,(M$6-M$7)-F106))*(M$5*100))</totalsRow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AEBC18-84FD-46B5-B42C-DFCEC3B2B6F5}" name="Table13610" displayName="Table13610" ref="R59:S106" totalsRowCount="1" headerRowDxfId="55" totalsRowDxfId="54" totalsRowBorderDxfId="53">
  <tableColumns count="2">
    <tableColumn id="1" xr3:uid="{F4F303A6-513C-4608-87EB-08C923BFF398}" name="UNDRLYNG PX" totalsRowFunction="custom" dataDxfId="52" totalsRowDxfId="51">
      <totalsRowFormula>$Y$18</totalsRowFormula>
    </tableColumn>
    <tableColumn id="2" xr3:uid="{0CED907A-38ED-4364-BA8E-732D6B126A57}" name="P/L " totalsRowFunction="custom" dataDxfId="50">
      <calculatedColumnFormula>IF(Y$4="CALL",(IF(R60-(Y$6+Y$7)&lt;-Y$7,-Y$7,R60-(Y$6+Y$7)))*Y$5,(IF((Y$6-Y$7)-R60&lt;-Y$7,-Y$7,(Y$6-Y$7)-R60))*Y$5)</calculatedColumnFormula>
      <totalsRowFormula>IFERROR((R106-Y$6)*$Y$5,0)</totalsRow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comments" Target="../comments1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A4917-F9B7-4BD6-B91A-EBDA5C500FBA}">
  <sheetPr codeName="Sheet7"/>
  <dimension ref="A1:AA120"/>
  <sheetViews>
    <sheetView showGridLines="0" tabSelected="1" zoomScale="70" zoomScaleNormal="70" zoomScaleSheetLayoutView="85" zoomScalePageLayoutView="70" workbookViewId="0">
      <selection activeCell="X45" sqref="X45"/>
    </sheetView>
  </sheetViews>
  <sheetFormatPr defaultColWidth="0" defaultRowHeight="15" zeroHeight="1" x14ac:dyDescent="0.25"/>
  <cols>
    <col min="1" max="1" width="3.5703125" customWidth="1"/>
    <col min="2" max="2" width="12.140625" customWidth="1"/>
    <col min="3" max="3" width="9.140625" customWidth="1"/>
    <col min="4" max="4" width="12.42578125" bestFit="1" customWidth="1"/>
    <col min="5" max="5" width="9" customWidth="1"/>
    <col min="6" max="6" width="12.140625" customWidth="1"/>
    <col min="7" max="7" width="9.140625" customWidth="1"/>
    <col min="8" max="8" width="10.85546875" customWidth="1"/>
    <col min="9" max="9" width="9.140625" customWidth="1"/>
    <col min="10" max="10" width="12.140625" customWidth="1"/>
    <col min="11" max="11" width="9.140625" customWidth="1"/>
    <col min="12" max="12" width="10.7109375" customWidth="1"/>
    <col min="13" max="13" width="9.140625" customWidth="1"/>
    <col min="14" max="14" width="12.140625" customWidth="1"/>
    <col min="15" max="15" width="9.140625" customWidth="1"/>
    <col min="16" max="16" width="10.7109375" customWidth="1"/>
    <col min="17" max="17" width="9.140625" customWidth="1"/>
    <col min="18" max="18" width="12.140625" customWidth="1"/>
    <col min="19" max="19" width="9.140625" customWidth="1"/>
    <col min="20" max="20" width="9.5703125" customWidth="1"/>
    <col min="21" max="21" width="9.140625" customWidth="1"/>
    <col min="22" max="22" width="12.140625" customWidth="1"/>
    <col min="23" max="23" width="9.140625" customWidth="1"/>
    <col min="24" max="24" width="12.28515625" customWidth="1"/>
    <col min="25" max="25" width="9" customWidth="1"/>
    <col min="26" max="26" width="9.140625" customWidth="1"/>
    <col min="27" max="27" width="5.7109375" customWidth="1"/>
    <col min="28" max="30" width="9.140625" hidden="1" customWidth="1"/>
    <col min="31" max="16384" width="9.140625" hidden="1"/>
  </cols>
  <sheetData>
    <row r="1" spans="1:27" s="5" customFormat="1" ht="15.75" thickBot="1" x14ac:dyDescent="0.3"/>
    <row r="2" spans="1:27" ht="17.25" customHeight="1" thickBot="1" x14ac:dyDescent="0.3">
      <c r="A2" s="5"/>
      <c r="B2" s="71" t="s">
        <v>26</v>
      </c>
      <c r="C2" s="72"/>
      <c r="D2" s="75" t="s">
        <v>31</v>
      </c>
      <c r="E2" s="76"/>
      <c r="F2" s="54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1:27" ht="15" customHeight="1" thickBot="1" x14ac:dyDescent="0.3">
      <c r="A3" s="5"/>
      <c r="B3" s="73"/>
      <c r="C3" s="74"/>
      <c r="D3" s="77"/>
      <c r="E3" s="78"/>
      <c r="F3" s="54"/>
      <c r="G3" s="55" t="s">
        <v>0</v>
      </c>
      <c r="H3" s="56"/>
      <c r="I3" s="57"/>
      <c r="J3" s="5"/>
      <c r="K3" s="43" t="s">
        <v>4</v>
      </c>
      <c r="L3" s="44"/>
      <c r="M3" s="45"/>
      <c r="N3" s="5"/>
      <c r="O3" s="43" t="s">
        <v>6</v>
      </c>
      <c r="P3" s="44"/>
      <c r="Q3" s="45"/>
      <c r="R3" s="5"/>
      <c r="S3" s="43" t="s">
        <v>7</v>
      </c>
      <c r="T3" s="44"/>
      <c r="U3" s="45"/>
      <c r="V3" s="5"/>
      <c r="W3" s="43" t="s">
        <v>8</v>
      </c>
      <c r="X3" s="44"/>
      <c r="Y3" s="45"/>
      <c r="Z3" s="5"/>
      <c r="AA3" s="5"/>
    </row>
    <row r="4" spans="1:27" ht="19.5" customHeight="1" thickBot="1" x14ac:dyDescent="0.35">
      <c r="A4" s="5"/>
      <c r="B4" s="90" t="s">
        <v>27</v>
      </c>
      <c r="C4" s="91"/>
      <c r="D4" s="92" cm="1">
        <f t="array" aca="1" ref="D4" ca="1">IFERROR(BDP(D3,B4),F2)</f>
        <v>0</v>
      </c>
      <c r="E4" s="93"/>
      <c r="F4" s="5"/>
      <c r="G4" s="62" t="s">
        <v>9</v>
      </c>
      <c r="H4" s="64"/>
      <c r="I4" s="23" t="s">
        <v>32</v>
      </c>
      <c r="J4" s="5"/>
      <c r="K4" s="62" t="s">
        <v>18</v>
      </c>
      <c r="L4" s="64"/>
      <c r="M4" s="24"/>
      <c r="N4" s="5"/>
      <c r="O4" s="62" t="s">
        <v>18</v>
      </c>
      <c r="P4" s="63"/>
      <c r="Q4" s="24"/>
      <c r="R4" s="5"/>
      <c r="S4" s="62" t="s">
        <v>18</v>
      </c>
      <c r="T4" s="64"/>
      <c r="U4" s="24"/>
      <c r="V4" s="5"/>
      <c r="W4" s="62" t="s">
        <v>24</v>
      </c>
      <c r="X4" s="63"/>
      <c r="Y4" s="64"/>
      <c r="Z4" s="5"/>
      <c r="AA4" s="5"/>
    </row>
    <row r="5" spans="1:27" ht="14.65" customHeight="1" x14ac:dyDescent="0.25">
      <c r="A5" s="5"/>
      <c r="B5" s="5"/>
      <c r="C5" s="5"/>
      <c r="D5" s="5"/>
      <c r="E5" s="5"/>
      <c r="F5" s="5"/>
      <c r="G5" s="67" t="s">
        <v>1</v>
      </c>
      <c r="H5" s="68"/>
      <c r="I5" s="26">
        <v>1</v>
      </c>
      <c r="J5" s="5"/>
      <c r="K5" s="67" t="s">
        <v>1</v>
      </c>
      <c r="L5" s="68"/>
      <c r="M5" s="26"/>
      <c r="N5" s="5"/>
      <c r="O5" s="67" t="s">
        <v>1</v>
      </c>
      <c r="P5" s="68"/>
      <c r="Q5" s="26"/>
      <c r="R5" s="5"/>
      <c r="S5" s="67" t="s">
        <v>1</v>
      </c>
      <c r="T5" s="68"/>
      <c r="U5" s="26"/>
      <c r="V5" s="5"/>
      <c r="W5" s="129" t="s">
        <v>1</v>
      </c>
      <c r="X5" s="130"/>
      <c r="Y5" s="29"/>
      <c r="Z5" s="5"/>
      <c r="AA5" s="5"/>
    </row>
    <row r="6" spans="1:27" ht="15.75" thickBot="1" x14ac:dyDescent="0.3">
      <c r="A6" s="5"/>
      <c r="B6" s="5"/>
      <c r="C6" s="5"/>
      <c r="D6" s="5"/>
      <c r="E6" s="5"/>
      <c r="F6" s="5"/>
      <c r="G6" s="69" t="s">
        <v>2</v>
      </c>
      <c r="H6" s="70"/>
      <c r="I6" s="27">
        <v>5</v>
      </c>
      <c r="J6" s="5"/>
      <c r="K6" s="69" t="s">
        <v>2</v>
      </c>
      <c r="L6" s="70"/>
      <c r="M6" s="27"/>
      <c r="N6" s="5"/>
      <c r="O6" s="69" t="s">
        <v>2</v>
      </c>
      <c r="P6" s="70"/>
      <c r="Q6" s="27"/>
      <c r="R6" s="5"/>
      <c r="S6" s="69" t="s">
        <v>2</v>
      </c>
      <c r="T6" s="70"/>
      <c r="U6" s="27"/>
      <c r="V6" s="5"/>
      <c r="W6" s="65" t="s">
        <v>21</v>
      </c>
      <c r="X6" s="66"/>
      <c r="Y6" s="28"/>
      <c r="Z6" s="5"/>
      <c r="AA6" s="5"/>
    </row>
    <row r="7" spans="1:27" ht="15.75" thickBot="1" x14ac:dyDescent="0.3">
      <c r="A7" s="5"/>
      <c r="B7" s="85" t="s">
        <v>10</v>
      </c>
      <c r="C7" s="86"/>
      <c r="D7" s="9" t="s">
        <v>33</v>
      </c>
      <c r="E7" s="5"/>
      <c r="F7" s="5"/>
      <c r="G7" s="83" t="s">
        <v>3</v>
      </c>
      <c r="H7" s="84"/>
      <c r="I7" s="25">
        <v>3</v>
      </c>
      <c r="J7" s="5"/>
      <c r="K7" s="83" t="s">
        <v>3</v>
      </c>
      <c r="L7" s="84"/>
      <c r="M7" s="25"/>
      <c r="N7" s="5"/>
      <c r="O7" s="83" t="s">
        <v>3</v>
      </c>
      <c r="P7" s="84"/>
      <c r="Q7" s="25"/>
      <c r="R7" s="5"/>
      <c r="S7" s="83" t="s">
        <v>3</v>
      </c>
      <c r="T7" s="84"/>
      <c r="U7" s="25"/>
      <c r="V7" s="5"/>
      <c r="W7" s="5"/>
      <c r="X7" s="5"/>
      <c r="Y7" s="5"/>
      <c r="Z7" s="5"/>
      <c r="AA7" s="5"/>
    </row>
    <row r="8" spans="1:27" ht="15.75" thickBot="1" x14ac:dyDescent="0.3">
      <c r="A8" s="5"/>
      <c r="B8" s="87"/>
      <c r="C8" s="88"/>
      <c r="D8" s="89"/>
      <c r="E8" s="5"/>
      <c r="F8" s="5"/>
      <c r="G8" s="65" t="s">
        <v>10</v>
      </c>
      <c r="H8" s="66"/>
      <c r="I8" s="28">
        <f ca="1">IF($D$4="","",$D$4)</f>
        <v>0</v>
      </c>
      <c r="J8" s="5"/>
      <c r="K8" s="65" t="s">
        <v>10</v>
      </c>
      <c r="L8" s="66"/>
      <c r="M8" s="28">
        <f ca="1">IF($I$8="","",$I$8)</f>
        <v>0</v>
      </c>
      <c r="N8" s="5"/>
      <c r="O8" s="65" t="s">
        <v>10</v>
      </c>
      <c r="P8" s="66"/>
      <c r="Q8" s="28">
        <f ca="1">IF($I$8="","",$I$8)</f>
        <v>0</v>
      </c>
      <c r="R8" s="5"/>
      <c r="S8" s="65" t="s">
        <v>10</v>
      </c>
      <c r="T8" s="66"/>
      <c r="U8" s="28">
        <f ca="1">IF($I$8="","",$I$8)</f>
        <v>0</v>
      </c>
      <c r="V8" s="5"/>
      <c r="W8" s="5"/>
      <c r="X8" s="5"/>
      <c r="Y8" s="5"/>
      <c r="Z8" s="5"/>
      <c r="AA8" s="5"/>
    </row>
    <row r="9" spans="1:27" ht="15" customHeight="1" thickBot="1" x14ac:dyDescent="0.3">
      <c r="A9" s="5"/>
      <c r="B9" s="16"/>
      <c r="C9" s="17"/>
      <c r="D9" s="41">
        <f t="shared" ref="D9:D53" ca="1" si="0">Z61</f>
        <v>-300</v>
      </c>
      <c r="E9" s="128" t="s">
        <v>29</v>
      </c>
      <c r="F9" s="128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43" t="s">
        <v>20</v>
      </c>
      <c r="X9" s="44"/>
      <c r="Y9" s="45"/>
      <c r="Z9" s="5"/>
      <c r="AA9" s="5"/>
    </row>
    <row r="10" spans="1:27" ht="15" customHeight="1" thickBot="1" x14ac:dyDescent="0.3">
      <c r="A10" s="5"/>
      <c r="B10" s="12"/>
      <c r="C10" s="13"/>
      <c r="D10" s="41">
        <f t="shared" ca="1" si="0"/>
        <v>-300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62" t="s">
        <v>25</v>
      </c>
      <c r="X10" s="63"/>
      <c r="Y10" s="64"/>
      <c r="Z10" s="5"/>
      <c r="AA10" s="5"/>
    </row>
    <row r="11" spans="1:27" x14ac:dyDescent="0.25">
      <c r="A11" s="5"/>
      <c r="B11" s="10">
        <f t="shared" ref="B11:B53" ca="1" si="1">B63</f>
        <v>-20</v>
      </c>
      <c r="C11" s="11"/>
      <c r="D11" s="41">
        <f t="shared" ca="1" si="0"/>
        <v>-300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129" t="s">
        <v>1</v>
      </c>
      <c r="X11" s="130"/>
      <c r="Y11" s="29"/>
      <c r="Z11" s="5"/>
      <c r="AA11" s="5"/>
    </row>
    <row r="12" spans="1:27" x14ac:dyDescent="0.25">
      <c r="A12" s="5"/>
      <c r="B12" s="12">
        <f t="shared" ca="1" si="1"/>
        <v>-19</v>
      </c>
      <c r="C12" s="13"/>
      <c r="D12" s="40">
        <f t="shared" ca="1" si="0"/>
        <v>-300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69" t="s">
        <v>5</v>
      </c>
      <c r="X12" s="70"/>
      <c r="Y12" s="27"/>
      <c r="Z12" s="5"/>
      <c r="AA12" s="5"/>
    </row>
    <row r="13" spans="1:27" ht="15.75" thickBot="1" x14ac:dyDescent="0.3">
      <c r="A13" s="5"/>
      <c r="B13" s="10">
        <f t="shared" ca="1" si="1"/>
        <v>-18</v>
      </c>
      <c r="C13" s="11"/>
      <c r="D13" s="41">
        <f t="shared" ca="1" si="0"/>
        <v>-300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60" t="s">
        <v>30</v>
      </c>
      <c r="X13" s="61"/>
      <c r="Y13" s="30">
        <f ca="1">IF($I$8="","",$I$8)</f>
        <v>0</v>
      </c>
      <c r="Z13" s="5"/>
      <c r="AA13" s="5"/>
    </row>
    <row r="14" spans="1:27" x14ac:dyDescent="0.25">
      <c r="A14" s="5"/>
      <c r="B14" s="12">
        <f t="shared" ca="1" si="1"/>
        <v>-17</v>
      </c>
      <c r="C14" s="13"/>
      <c r="D14" s="40">
        <f t="shared" ca="1" si="0"/>
        <v>-300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5" spans="1:27" ht="14.65" customHeight="1" thickBot="1" x14ac:dyDescent="0.3">
      <c r="A15" s="5"/>
      <c r="B15" s="10">
        <f t="shared" ca="1" si="1"/>
        <v>-16</v>
      </c>
      <c r="C15" s="11"/>
      <c r="D15" s="41">
        <f t="shared" ca="1" si="0"/>
        <v>-300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spans="1:27" ht="14.25" customHeight="1" thickBot="1" x14ac:dyDescent="0.3">
      <c r="A16" s="5"/>
      <c r="B16" s="12">
        <f t="shared" ca="1" si="1"/>
        <v>-15</v>
      </c>
      <c r="C16" s="13"/>
      <c r="D16" s="40">
        <f t="shared" ca="1" si="0"/>
        <v>-300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8" t="s">
        <v>19</v>
      </c>
      <c r="X16" s="59"/>
      <c r="Y16" s="31">
        <v>1</v>
      </c>
      <c r="Z16" s="5"/>
      <c r="AA16" s="5"/>
    </row>
    <row r="17" spans="1:27" ht="15.75" thickBot="1" x14ac:dyDescent="0.3">
      <c r="A17" s="5"/>
      <c r="B17" s="10">
        <f t="shared" ca="1" si="1"/>
        <v>-14</v>
      </c>
      <c r="C17" s="11"/>
      <c r="D17" s="41">
        <f t="shared" ca="1" si="0"/>
        <v>-300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1:27" x14ac:dyDescent="0.25">
      <c r="A18" s="5"/>
      <c r="B18" s="12">
        <f t="shared" ca="1" si="1"/>
        <v>-13</v>
      </c>
      <c r="C18" s="13"/>
      <c r="D18" s="40">
        <f t="shared" ca="1" si="0"/>
        <v>-300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100" t="s">
        <v>22</v>
      </c>
      <c r="X18" s="101"/>
      <c r="Y18" s="96"/>
      <c r="Z18" s="97"/>
      <c r="AA18" s="5"/>
    </row>
    <row r="19" spans="1:27" ht="15.75" thickBot="1" x14ac:dyDescent="0.3">
      <c r="A19" s="5"/>
      <c r="B19" s="10">
        <f t="shared" ca="1" si="1"/>
        <v>-12</v>
      </c>
      <c r="C19" s="11"/>
      <c r="D19" s="41">
        <f t="shared" ca="1" si="0"/>
        <v>-300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102"/>
      <c r="X19" s="103"/>
      <c r="Y19" s="98"/>
      <c r="Z19" s="99"/>
      <c r="AA19" s="5"/>
    </row>
    <row r="20" spans="1:27" x14ac:dyDescent="0.25">
      <c r="A20" s="5"/>
      <c r="B20" s="12">
        <f t="shared" ca="1" si="1"/>
        <v>-11</v>
      </c>
      <c r="C20" s="13"/>
      <c r="D20" s="40">
        <f t="shared" ca="1" si="0"/>
        <v>-300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124" t="s">
        <v>11</v>
      </c>
      <c r="X20" s="125"/>
      <c r="Y20" s="96">
        <f>Table137[[#Totals],[P/L ]]</f>
        <v>-300</v>
      </c>
      <c r="Z20" s="97"/>
      <c r="AA20" s="5"/>
    </row>
    <row r="21" spans="1:27" ht="15.75" thickBot="1" x14ac:dyDescent="0.3">
      <c r="A21" s="5"/>
      <c r="B21" s="10">
        <f t="shared" ca="1" si="1"/>
        <v>-10</v>
      </c>
      <c r="C21" s="11"/>
      <c r="D21" s="41">
        <f t="shared" ca="1" si="0"/>
        <v>-300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126"/>
      <c r="X21" s="127"/>
      <c r="Y21" s="98"/>
      <c r="Z21" s="99"/>
      <c r="AA21" s="5"/>
    </row>
    <row r="22" spans="1:27" x14ac:dyDescent="0.25">
      <c r="A22" s="5"/>
      <c r="B22" s="12">
        <f t="shared" ca="1" si="1"/>
        <v>-9</v>
      </c>
      <c r="C22" s="13"/>
      <c r="D22" s="40">
        <f t="shared" ca="1" si="0"/>
        <v>-300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</row>
    <row r="23" spans="1:27" x14ac:dyDescent="0.25">
      <c r="A23" s="5"/>
      <c r="B23" s="10">
        <f t="shared" ca="1" si="1"/>
        <v>-8</v>
      </c>
      <c r="C23" s="11"/>
      <c r="D23" s="41">
        <f t="shared" ca="1" si="0"/>
        <v>-300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</row>
    <row r="24" spans="1:27" ht="15.75" thickBot="1" x14ac:dyDescent="0.3">
      <c r="A24" s="5"/>
      <c r="B24" s="12">
        <f t="shared" ca="1" si="1"/>
        <v>-7</v>
      </c>
      <c r="C24" s="13"/>
      <c r="D24" s="40">
        <f t="shared" ca="1" si="0"/>
        <v>-300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</row>
    <row r="25" spans="1:27" ht="15" customHeight="1" x14ac:dyDescent="0.25">
      <c r="A25" s="5"/>
      <c r="B25" s="10">
        <f t="shared" ca="1" si="1"/>
        <v>-6</v>
      </c>
      <c r="C25" s="11"/>
      <c r="D25" s="41">
        <f t="shared" ca="1" si="0"/>
        <v>-300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46" t="s">
        <v>14</v>
      </c>
      <c r="X25" s="47"/>
      <c r="Y25" s="104" t="str">
        <f ca="1">IF(D9&gt;D10,"UNLIMITED",IF(D53&gt;D52,"UNLIMITED",MAX(D9:D53)))</f>
        <v>UNLIMITED</v>
      </c>
      <c r="Z25" s="105"/>
      <c r="AA25" s="5"/>
    </row>
    <row r="26" spans="1:27" ht="15.75" customHeight="1" thickBot="1" x14ac:dyDescent="0.3">
      <c r="A26" s="5"/>
      <c r="B26" s="12">
        <f t="shared" ca="1" si="1"/>
        <v>-5</v>
      </c>
      <c r="C26" s="13"/>
      <c r="D26" s="40">
        <f t="shared" ca="1" si="0"/>
        <v>-300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48"/>
      <c r="X26" s="49"/>
      <c r="Y26" s="106"/>
      <c r="Z26" s="107"/>
      <c r="AA26" s="5"/>
    </row>
    <row r="27" spans="1:27" ht="14.25" customHeight="1" thickBot="1" x14ac:dyDescent="0.3">
      <c r="A27" s="5"/>
      <c r="B27" s="10">
        <f t="shared" ca="1" si="1"/>
        <v>-4</v>
      </c>
      <c r="C27" s="11"/>
      <c r="D27" s="41">
        <f t="shared" ca="1" si="0"/>
        <v>-300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</row>
    <row r="28" spans="1:27" ht="14.65" customHeight="1" x14ac:dyDescent="0.25">
      <c r="A28" s="5"/>
      <c r="B28" s="12">
        <f t="shared" ca="1" si="1"/>
        <v>-3</v>
      </c>
      <c r="C28" s="13"/>
      <c r="D28" s="40">
        <f t="shared" ca="1" si="0"/>
        <v>-300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0" t="s">
        <v>13</v>
      </c>
      <c r="X28" s="51"/>
      <c r="Y28" s="108">
        <f ca="1">IF(D9&lt;D10,"UNLIMITED",IF(D53&lt;D52,"UNLIMITED",MIN(D9:D53)))</f>
        <v>-300</v>
      </c>
      <c r="Z28" s="109"/>
      <c r="AA28" s="5"/>
    </row>
    <row r="29" spans="1:27" ht="15.75" customHeight="1" thickBot="1" x14ac:dyDescent="0.3">
      <c r="A29" s="5"/>
      <c r="B29" s="10">
        <f t="shared" ca="1" si="1"/>
        <v>-2</v>
      </c>
      <c r="C29" s="11"/>
      <c r="D29" s="41">
        <f t="shared" ca="1" si="0"/>
        <v>-300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2"/>
      <c r="X29" s="53"/>
      <c r="Y29" s="110"/>
      <c r="Z29" s="111"/>
      <c r="AA29" s="5"/>
    </row>
    <row r="30" spans="1:27" ht="15.75" thickBot="1" x14ac:dyDescent="0.3">
      <c r="A30" s="5"/>
      <c r="B30" s="12">
        <f t="shared" ca="1" si="1"/>
        <v>-1</v>
      </c>
      <c r="C30" s="13"/>
      <c r="D30" s="40">
        <f t="shared" ca="1" si="0"/>
        <v>-300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1:27" x14ac:dyDescent="0.25">
      <c r="A31" s="5"/>
      <c r="B31" s="10">
        <f t="shared" ca="1" si="1"/>
        <v>0</v>
      </c>
      <c r="C31" s="11"/>
      <c r="D31" s="41">
        <f t="shared" ca="1" si="0"/>
        <v>-300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112" t="s">
        <v>12</v>
      </c>
      <c r="X31" s="113"/>
      <c r="Y31" s="116">
        <f>-(I5*I7*100+M5*M7*100+Q5*Q7*100+U5*U7*100)</f>
        <v>-300</v>
      </c>
      <c r="Z31" s="117"/>
      <c r="AA31" s="5"/>
    </row>
    <row r="32" spans="1:27" ht="15.75" thickBot="1" x14ac:dyDescent="0.3">
      <c r="A32" s="5"/>
      <c r="B32" s="12">
        <f t="shared" ca="1" si="1"/>
        <v>1</v>
      </c>
      <c r="C32" s="13"/>
      <c r="D32" s="40">
        <f t="shared" ca="1" si="0"/>
        <v>-300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114"/>
      <c r="X32" s="115"/>
      <c r="Y32" s="118"/>
      <c r="Z32" s="119"/>
      <c r="AA32" s="5"/>
    </row>
    <row r="33" spans="1:27" ht="15.75" thickBot="1" x14ac:dyDescent="0.3">
      <c r="A33" s="5"/>
      <c r="B33" s="10">
        <f t="shared" ca="1" si="1"/>
        <v>2</v>
      </c>
      <c r="C33" s="11"/>
      <c r="D33" s="41">
        <f t="shared" ca="1" si="0"/>
        <v>-300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1:27" x14ac:dyDescent="0.25">
      <c r="A34" s="5"/>
      <c r="B34" s="12">
        <f t="shared" ca="1" si="1"/>
        <v>3</v>
      </c>
      <c r="C34" s="13"/>
      <c r="D34" s="40">
        <f t="shared" ca="1" si="0"/>
        <v>-300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71" t="s">
        <v>23</v>
      </c>
      <c r="X34" s="72"/>
      <c r="Y34" s="120">
        <f>(I5*I7*100+M5*M7*100+Q5*Q7*100+U5*U7*100+Y5*Y6+Y11*Y12*100)</f>
        <v>300</v>
      </c>
      <c r="Z34" s="121"/>
      <c r="AA34" s="5"/>
    </row>
    <row r="35" spans="1:27" ht="15.75" thickBot="1" x14ac:dyDescent="0.3">
      <c r="A35" s="5"/>
      <c r="B35" s="10">
        <f t="shared" ca="1" si="1"/>
        <v>4</v>
      </c>
      <c r="C35" s="11"/>
      <c r="D35" s="41">
        <f t="shared" ca="1" si="0"/>
        <v>-300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73"/>
      <c r="X35" s="74"/>
      <c r="Y35" s="122"/>
      <c r="Z35" s="123"/>
      <c r="AA35" s="5"/>
    </row>
    <row r="36" spans="1:27" x14ac:dyDescent="0.25">
      <c r="A36" s="5"/>
      <c r="B36" s="12">
        <f t="shared" ca="1" si="1"/>
        <v>5</v>
      </c>
      <c r="C36" s="13"/>
      <c r="D36" s="40">
        <f t="shared" ca="1" si="0"/>
        <v>-300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spans="1:27" x14ac:dyDescent="0.25">
      <c r="A37" s="5"/>
      <c r="B37" s="10">
        <f t="shared" ca="1" si="1"/>
        <v>6</v>
      </c>
      <c r="C37" s="11"/>
      <c r="D37" s="41">
        <f t="shared" ca="1" si="0"/>
        <v>-200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1:27" x14ac:dyDescent="0.25">
      <c r="A38" s="5"/>
      <c r="B38" s="12">
        <f t="shared" ca="1" si="1"/>
        <v>7</v>
      </c>
      <c r="C38" s="13"/>
      <c r="D38" s="40">
        <f t="shared" ca="1" si="0"/>
        <v>-100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spans="1:27" x14ac:dyDescent="0.25">
      <c r="A39" s="5"/>
      <c r="B39" s="10">
        <f t="shared" ca="1" si="1"/>
        <v>8</v>
      </c>
      <c r="C39" s="11"/>
      <c r="D39" s="41">
        <f t="shared" ca="1" si="0"/>
        <v>0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1:27" x14ac:dyDescent="0.25">
      <c r="A40" s="5"/>
      <c r="B40" s="12">
        <f t="shared" ca="1" si="1"/>
        <v>9</v>
      </c>
      <c r="C40" s="13"/>
      <c r="D40" s="40">
        <f t="shared" ca="1" si="0"/>
        <v>100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1:27" x14ac:dyDescent="0.25">
      <c r="A41" s="5"/>
      <c r="B41" s="10">
        <f t="shared" ca="1" si="1"/>
        <v>10</v>
      </c>
      <c r="C41" s="11"/>
      <c r="D41" s="41">
        <f t="shared" ca="1" si="0"/>
        <v>200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25">
      <c r="A42" s="5"/>
      <c r="B42" s="12">
        <f t="shared" ca="1" si="1"/>
        <v>11</v>
      </c>
      <c r="C42" s="13"/>
      <c r="D42" s="40">
        <f t="shared" ca="1" si="0"/>
        <v>300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x14ac:dyDescent="0.25">
      <c r="A43" s="5"/>
      <c r="B43" s="10">
        <f t="shared" ca="1" si="1"/>
        <v>12</v>
      </c>
      <c r="C43" s="11"/>
      <c r="D43" s="41">
        <f t="shared" ca="1" si="0"/>
        <v>400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x14ac:dyDescent="0.25">
      <c r="A44" s="5"/>
      <c r="B44" s="12">
        <f t="shared" ca="1" si="1"/>
        <v>13</v>
      </c>
      <c r="C44" s="13"/>
      <c r="D44" s="40">
        <f t="shared" ca="1" si="0"/>
        <v>500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27" x14ac:dyDescent="0.25">
      <c r="A45" s="5"/>
      <c r="B45" s="10">
        <f t="shared" ca="1" si="1"/>
        <v>14</v>
      </c>
      <c r="C45" s="11"/>
      <c r="D45" s="41">
        <f t="shared" ca="1" si="0"/>
        <v>600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27" x14ac:dyDescent="0.25">
      <c r="A46" s="5"/>
      <c r="B46" s="12">
        <f t="shared" ca="1" si="1"/>
        <v>15</v>
      </c>
      <c r="C46" s="13"/>
      <c r="D46" s="40">
        <f t="shared" ca="1" si="0"/>
        <v>700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6"/>
      <c r="S46" s="6"/>
      <c r="T46" s="6"/>
      <c r="U46" s="6"/>
      <c r="V46" s="6"/>
      <c r="W46" s="6"/>
      <c r="X46" s="5"/>
      <c r="Y46" s="5"/>
      <c r="Z46" s="5"/>
      <c r="AA46" s="5"/>
    </row>
    <row r="47" spans="1:27" ht="14.25" customHeight="1" x14ac:dyDescent="0.25">
      <c r="A47" s="5"/>
      <c r="B47" s="10">
        <f t="shared" ca="1" si="1"/>
        <v>16</v>
      </c>
      <c r="C47" s="11"/>
      <c r="D47" s="41">
        <f t="shared" ca="1" si="0"/>
        <v>800</v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</row>
    <row r="48" spans="1:27" ht="14.65" customHeight="1" x14ac:dyDescent="0.25">
      <c r="A48" s="5"/>
      <c r="B48" s="12">
        <f t="shared" ca="1" si="1"/>
        <v>17</v>
      </c>
      <c r="C48" s="13"/>
      <c r="D48" s="40">
        <f t="shared" ca="1" si="0"/>
        <v>900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</row>
    <row r="49" spans="1:27" ht="14.65" customHeight="1" x14ac:dyDescent="0.25">
      <c r="A49" s="5"/>
      <c r="B49" s="10">
        <f t="shared" ca="1" si="1"/>
        <v>18</v>
      </c>
      <c r="C49" s="11"/>
      <c r="D49" s="41">
        <f t="shared" ca="1" si="0"/>
        <v>1000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spans="1:27" ht="14.25" customHeight="1" x14ac:dyDescent="0.25">
      <c r="A50" s="5"/>
      <c r="B50" s="12">
        <f t="shared" ca="1" si="1"/>
        <v>19</v>
      </c>
      <c r="C50" s="13"/>
      <c r="D50" s="40">
        <f t="shared" ca="1" si="0"/>
        <v>1100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</row>
    <row r="51" spans="1:27" ht="14.65" customHeight="1" x14ac:dyDescent="0.25">
      <c r="A51" s="5"/>
      <c r="B51" s="10">
        <f t="shared" ca="1" si="1"/>
        <v>20</v>
      </c>
      <c r="C51" s="11"/>
      <c r="D51" s="41">
        <f t="shared" ca="1" si="0"/>
        <v>1200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</row>
    <row r="52" spans="1:27" x14ac:dyDescent="0.25">
      <c r="A52" s="5"/>
      <c r="B52" s="12">
        <f t="shared" ca="1" si="1"/>
        <v>21</v>
      </c>
      <c r="C52" s="13"/>
      <c r="D52" s="40">
        <f t="shared" ca="1" si="0"/>
        <v>1300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3" spans="1:27" ht="15.75" thickBot="1" x14ac:dyDescent="0.3">
      <c r="A53" s="5"/>
      <c r="B53" s="14">
        <f t="shared" ca="1" si="1"/>
        <v>22</v>
      </c>
      <c r="C53" s="15"/>
      <c r="D53" s="42">
        <f t="shared" ca="1" si="0"/>
        <v>1400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spans="1:27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</row>
    <row r="55" spans="1:27" ht="15.75" thickBot="1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</row>
    <row r="56" spans="1:27" ht="15" customHeight="1" x14ac:dyDescent="0.25">
      <c r="A56" s="5"/>
      <c r="B56" s="79" t="s">
        <v>0</v>
      </c>
      <c r="C56" s="80"/>
      <c r="D56" s="5"/>
      <c r="E56" s="5"/>
      <c r="F56" s="79" t="s">
        <v>4</v>
      </c>
      <c r="G56" s="80"/>
      <c r="H56" s="5"/>
      <c r="I56" s="5"/>
      <c r="J56" s="79" t="s">
        <v>6</v>
      </c>
      <c r="K56" s="80"/>
      <c r="L56" s="5"/>
      <c r="M56" s="5"/>
      <c r="N56" s="79" t="s">
        <v>7</v>
      </c>
      <c r="O56" s="80"/>
      <c r="P56" s="5"/>
      <c r="Q56" s="5"/>
      <c r="R56" s="79" t="s">
        <v>8</v>
      </c>
      <c r="S56" s="80"/>
      <c r="T56" s="5"/>
      <c r="U56" s="5"/>
      <c r="V56" s="79" t="s">
        <v>20</v>
      </c>
      <c r="W56" s="80"/>
      <c r="X56" s="5"/>
      <c r="Y56" s="79" t="s">
        <v>17</v>
      </c>
      <c r="Z56" s="80"/>
      <c r="AA56" s="5"/>
    </row>
    <row r="57" spans="1:27" ht="15" customHeight="1" x14ac:dyDescent="0.25">
      <c r="A57" s="5"/>
      <c r="B57" s="81"/>
      <c r="C57" s="82"/>
      <c r="D57" s="5"/>
      <c r="E57" s="5"/>
      <c r="F57" s="81"/>
      <c r="G57" s="82"/>
      <c r="H57" s="5"/>
      <c r="I57" s="5"/>
      <c r="J57" s="81"/>
      <c r="K57" s="82"/>
      <c r="L57" s="5"/>
      <c r="M57" s="5"/>
      <c r="N57" s="81"/>
      <c r="O57" s="82"/>
      <c r="P57" s="5"/>
      <c r="Q57" s="5"/>
      <c r="R57" s="81"/>
      <c r="S57" s="82"/>
      <c r="T57" s="5"/>
      <c r="U57" s="5"/>
      <c r="V57" s="81"/>
      <c r="W57" s="82"/>
      <c r="X57" s="5"/>
      <c r="Y57" s="81"/>
      <c r="Z57" s="82"/>
      <c r="AA57" s="5"/>
    </row>
    <row r="58" spans="1:27" ht="15.75" customHeight="1" thickBot="1" x14ac:dyDescent="0.3">
      <c r="A58" s="5"/>
      <c r="B58" s="81"/>
      <c r="C58" s="82"/>
      <c r="D58" s="5"/>
      <c r="E58" s="5"/>
      <c r="F58" s="81"/>
      <c r="G58" s="82"/>
      <c r="H58" s="5"/>
      <c r="I58" s="5"/>
      <c r="J58" s="81"/>
      <c r="K58" s="82"/>
      <c r="L58" s="5"/>
      <c r="M58" s="5"/>
      <c r="N58" s="81"/>
      <c r="O58" s="82"/>
      <c r="P58" s="5"/>
      <c r="Q58" s="5"/>
      <c r="R58" s="81"/>
      <c r="S58" s="82"/>
      <c r="T58" s="5"/>
      <c r="U58" s="5"/>
      <c r="V58" s="81"/>
      <c r="W58" s="82"/>
      <c r="X58" s="5"/>
      <c r="Y58" s="94"/>
      <c r="Z58" s="95"/>
      <c r="AA58" s="5"/>
    </row>
    <row r="59" spans="1:27" ht="16.5" customHeight="1" thickBot="1" x14ac:dyDescent="0.3">
      <c r="A59" s="5"/>
      <c r="B59" s="38" t="s">
        <v>16</v>
      </c>
      <c r="C59" s="39" t="s">
        <v>15</v>
      </c>
      <c r="D59" s="5"/>
      <c r="E59" s="5"/>
      <c r="F59" s="38" t="s">
        <v>28</v>
      </c>
      <c r="G59" s="39" t="s">
        <v>15</v>
      </c>
      <c r="H59" s="5"/>
      <c r="I59" s="5"/>
      <c r="J59" s="38" t="s">
        <v>16</v>
      </c>
      <c r="K59" s="39" t="s">
        <v>15</v>
      </c>
      <c r="L59" s="5"/>
      <c r="M59" s="5"/>
      <c r="N59" s="38" t="s">
        <v>16</v>
      </c>
      <c r="O59" s="39" t="s">
        <v>15</v>
      </c>
      <c r="P59" s="5"/>
      <c r="Q59" s="5"/>
      <c r="R59" s="38" t="s">
        <v>16</v>
      </c>
      <c r="S59" s="39" t="s">
        <v>15</v>
      </c>
      <c r="T59" s="5"/>
      <c r="U59" s="5"/>
      <c r="V59" s="38" t="s">
        <v>16</v>
      </c>
      <c r="W59" s="39" t="s">
        <v>15</v>
      </c>
      <c r="X59" s="5"/>
      <c r="Y59" s="38" t="s">
        <v>16</v>
      </c>
      <c r="Z59" s="39" t="s">
        <v>15</v>
      </c>
      <c r="AA59" s="5"/>
    </row>
    <row r="60" spans="1:27" ht="15.75" thickBot="1" x14ac:dyDescent="0.3">
      <c r="A60" s="5"/>
      <c r="B60" s="7"/>
      <c r="C60" s="8"/>
      <c r="D60" s="5"/>
      <c r="E60" s="5"/>
      <c r="F60" s="7"/>
      <c r="G60" s="32"/>
      <c r="H60" s="5"/>
      <c r="I60" s="5"/>
      <c r="J60" s="7"/>
      <c r="K60" s="32"/>
      <c r="L60" s="5"/>
      <c r="M60" s="5"/>
      <c r="N60" s="7"/>
      <c r="O60" s="8"/>
      <c r="P60" s="5"/>
      <c r="Q60" s="5"/>
      <c r="R60" s="7"/>
      <c r="S60" s="8"/>
      <c r="T60" s="5"/>
      <c r="U60" s="5"/>
      <c r="V60" s="7"/>
      <c r="W60" s="8"/>
      <c r="X60" s="5"/>
      <c r="Y60" s="7"/>
      <c r="Z60" s="8"/>
      <c r="AA60" s="5"/>
    </row>
    <row r="61" spans="1:27" x14ac:dyDescent="0.25">
      <c r="A61" s="5"/>
      <c r="B61" s="22">
        <f t="shared" ref="B61:B82" ca="1" si="2">B62-$Y$16</f>
        <v>-22</v>
      </c>
      <c r="C61" s="2">
        <f t="shared" ref="C61:C106" ca="1" si="3">IF(I$4="CALL",(IF(B61-(I$6+I$7)&lt;-I$7,-I$7,B61-(I$6+I$7)))*(I$5*100),(IF((I$6-I$7)-B61&lt;-I$7,-I$7,(I$6-I$7)-B61))*(I$5*100))</f>
        <v>-300</v>
      </c>
      <c r="D61" s="5"/>
      <c r="E61" s="5"/>
      <c r="F61" s="22">
        <f t="shared" ref="F61:F105" ca="1" si="4">B61</f>
        <v>-22</v>
      </c>
      <c r="G61" s="2">
        <f t="shared" ref="G61:G106" ca="1" si="5">IF(M$4="CALL",(IF(F61-(M$6+M$7)&lt;-M$7,-M$7,F61-(M$6+M$7)))*(M$5*100),(IF((M$6-M$7)-F61&lt;-M$7,-M$7,(M$6-M$7)-F61))*(M$5*100))</f>
        <v>0</v>
      </c>
      <c r="H61" s="5"/>
      <c r="I61" s="5"/>
      <c r="J61" s="22">
        <f t="shared" ref="J61:J105" ca="1" si="6">B61</f>
        <v>-22</v>
      </c>
      <c r="K61" s="2">
        <f t="shared" ref="K61:K106" ca="1" si="7">IF(Q$4="CALL",(IF(J61-(Q$6+Q$7)&lt;-Q$7,-Q$7,J61-(Q$6+Q$7)))*(Q$5*100),(IF((Q$6-Q$7)-J61&lt;-Q$7,-Q$7,(Q$6-Q$7)-J61))*(Q$5*100))</f>
        <v>0</v>
      </c>
      <c r="L61" s="5"/>
      <c r="M61" s="5"/>
      <c r="N61" s="22">
        <f t="shared" ref="N61:N105" ca="1" si="8">B61</f>
        <v>-22</v>
      </c>
      <c r="O61" s="1">
        <f ca="1">IF(U$4="CALL",(IF(N61-(U$6+U$7)&lt;-U$7,-U$7,N61-(U$6+U$7)))*(U$5*100),(IF((U$6-U$7)-N61&lt;-U$7,-U$7,(U$6-U$7)-N61))*(U$5*100))</f>
        <v>0</v>
      </c>
      <c r="P61" s="5"/>
      <c r="Q61" s="5"/>
      <c r="R61" s="22">
        <f ca="1">Table13[[#This Row],[UNDRLYNG PX]]</f>
        <v>-22</v>
      </c>
      <c r="S61" s="34">
        <f t="shared" ref="S61:S106" ca="1" si="9">IFERROR((R61-Y$6)*$Y$5,0)</f>
        <v>0</v>
      </c>
      <c r="T61" s="5"/>
      <c r="U61" s="5"/>
      <c r="V61" s="22">
        <f t="shared" ref="V61:V105" ca="1" si="10">B61</f>
        <v>-22</v>
      </c>
      <c r="W61" s="1">
        <f ca="1">(V61-Y$12)*($Y$11*100)</f>
        <v>0</v>
      </c>
      <c r="X61" s="5"/>
      <c r="Y61" s="22">
        <f t="shared" ref="Y61:Y105" ca="1" si="11">B61</f>
        <v>-22</v>
      </c>
      <c r="Z61" s="34">
        <f t="shared" ref="Z61:Z105" ca="1" si="12">C61+G61+K61+O61+S61+W61</f>
        <v>-300</v>
      </c>
      <c r="AA61" s="5"/>
    </row>
    <row r="62" spans="1:27" x14ac:dyDescent="0.25">
      <c r="A62" s="5"/>
      <c r="B62" s="21">
        <f t="shared" ca="1" si="2"/>
        <v>-21</v>
      </c>
      <c r="C62" s="2">
        <f t="shared" ca="1" si="3"/>
        <v>-300</v>
      </c>
      <c r="D62" s="5"/>
      <c r="E62" s="5"/>
      <c r="F62" s="21">
        <f t="shared" ca="1" si="4"/>
        <v>-21</v>
      </c>
      <c r="G62" s="2">
        <f t="shared" ca="1" si="5"/>
        <v>0</v>
      </c>
      <c r="H62" s="5"/>
      <c r="I62" s="5"/>
      <c r="J62" s="21">
        <f t="shared" ca="1" si="6"/>
        <v>-21</v>
      </c>
      <c r="K62" s="2">
        <f t="shared" ca="1" si="7"/>
        <v>0</v>
      </c>
      <c r="L62" s="5"/>
      <c r="M62" s="5"/>
      <c r="N62" s="21">
        <f t="shared" ca="1" si="8"/>
        <v>-21</v>
      </c>
      <c r="O62" s="2">
        <f t="shared" ref="O62:O105" ca="1" si="13">IF(U$4="CALL",(IF(N62-(U$6+U$7)&lt;-U$7,-U$7,N62-(U$6+U$7)))*(U$5*100),(IF((U$6-U$7)-N62&lt;-U$7,-U$7,(U$6-U$7)-N62))*(U$5*100))</f>
        <v>0</v>
      </c>
      <c r="P62" s="5"/>
      <c r="Q62" s="5"/>
      <c r="R62" s="21">
        <f ca="1">Table13[[#This Row],[UNDRLYNG PX]]</f>
        <v>-21</v>
      </c>
      <c r="S62" s="35">
        <f t="shared" ca="1" si="9"/>
        <v>0</v>
      </c>
      <c r="T62" s="5"/>
      <c r="U62" s="5"/>
      <c r="V62" s="21">
        <f t="shared" ca="1" si="10"/>
        <v>-21</v>
      </c>
      <c r="W62" s="2">
        <f t="shared" ref="W62:W105" ca="1" si="14">(V62-Y$12)*($Y$11*100)</f>
        <v>0</v>
      </c>
      <c r="X62" s="5"/>
      <c r="Y62" s="21">
        <f t="shared" ca="1" si="11"/>
        <v>-21</v>
      </c>
      <c r="Z62" s="35">
        <f t="shared" ca="1" si="12"/>
        <v>-300</v>
      </c>
      <c r="AA62" s="5"/>
    </row>
    <row r="63" spans="1:27" x14ac:dyDescent="0.25">
      <c r="A63" s="5"/>
      <c r="B63" s="22">
        <f t="shared" ca="1" si="2"/>
        <v>-20</v>
      </c>
      <c r="C63" s="2">
        <f t="shared" ca="1" si="3"/>
        <v>-300</v>
      </c>
      <c r="D63" s="5"/>
      <c r="E63" s="5"/>
      <c r="F63" s="22">
        <f t="shared" ca="1" si="4"/>
        <v>-20</v>
      </c>
      <c r="G63" s="2">
        <f t="shared" ca="1" si="5"/>
        <v>0</v>
      </c>
      <c r="H63" s="5"/>
      <c r="I63" s="5"/>
      <c r="J63" s="22">
        <f t="shared" ca="1" si="6"/>
        <v>-20</v>
      </c>
      <c r="K63" s="2">
        <f t="shared" ca="1" si="7"/>
        <v>0</v>
      </c>
      <c r="L63" s="5"/>
      <c r="M63" s="5"/>
      <c r="N63" s="22">
        <f t="shared" ca="1" si="8"/>
        <v>-20</v>
      </c>
      <c r="O63" s="3">
        <f t="shared" ca="1" si="13"/>
        <v>0</v>
      </c>
      <c r="P63" s="5"/>
      <c r="Q63" s="5"/>
      <c r="R63" s="22">
        <f ca="1">Table13[[#This Row],[UNDRLYNG PX]]</f>
        <v>-20</v>
      </c>
      <c r="S63" s="35">
        <f t="shared" ca="1" si="9"/>
        <v>0</v>
      </c>
      <c r="T63" s="5"/>
      <c r="U63" s="5"/>
      <c r="V63" s="22">
        <f t="shared" ca="1" si="10"/>
        <v>-20</v>
      </c>
      <c r="W63" s="3">
        <f t="shared" ca="1" si="14"/>
        <v>0</v>
      </c>
      <c r="X63" s="5"/>
      <c r="Y63" s="22">
        <f t="shared" ca="1" si="11"/>
        <v>-20</v>
      </c>
      <c r="Z63" s="35">
        <f t="shared" ca="1" si="12"/>
        <v>-300</v>
      </c>
      <c r="AA63" s="5"/>
    </row>
    <row r="64" spans="1:27" x14ac:dyDescent="0.25">
      <c r="A64" s="5"/>
      <c r="B64" s="21">
        <f t="shared" ca="1" si="2"/>
        <v>-19</v>
      </c>
      <c r="C64" s="2">
        <f t="shared" ca="1" si="3"/>
        <v>-300</v>
      </c>
      <c r="D64" s="5"/>
      <c r="E64" s="5"/>
      <c r="F64" s="21">
        <f t="shared" ca="1" si="4"/>
        <v>-19</v>
      </c>
      <c r="G64" s="2">
        <f t="shared" ca="1" si="5"/>
        <v>0</v>
      </c>
      <c r="H64" s="5"/>
      <c r="I64" s="5"/>
      <c r="J64" s="21">
        <f t="shared" ca="1" si="6"/>
        <v>-19</v>
      </c>
      <c r="K64" s="2">
        <f t="shared" ca="1" si="7"/>
        <v>0</v>
      </c>
      <c r="L64" s="5"/>
      <c r="M64" s="5"/>
      <c r="N64" s="21">
        <f t="shared" ca="1" si="8"/>
        <v>-19</v>
      </c>
      <c r="O64" s="2">
        <f t="shared" ca="1" si="13"/>
        <v>0</v>
      </c>
      <c r="P64" s="5"/>
      <c r="Q64" s="5"/>
      <c r="R64" s="21">
        <f ca="1">Table13[[#This Row],[UNDRLYNG PX]]</f>
        <v>-19</v>
      </c>
      <c r="S64" s="35">
        <f t="shared" ca="1" si="9"/>
        <v>0</v>
      </c>
      <c r="T64" s="5"/>
      <c r="U64" s="5"/>
      <c r="V64" s="21">
        <f t="shared" ca="1" si="10"/>
        <v>-19</v>
      </c>
      <c r="W64" s="2">
        <f t="shared" ca="1" si="14"/>
        <v>0</v>
      </c>
      <c r="X64" s="5"/>
      <c r="Y64" s="21">
        <f t="shared" ca="1" si="11"/>
        <v>-19</v>
      </c>
      <c r="Z64" s="35">
        <f t="shared" ca="1" si="12"/>
        <v>-300</v>
      </c>
      <c r="AA64" s="5"/>
    </row>
    <row r="65" spans="1:27" x14ac:dyDescent="0.25">
      <c r="A65" s="5"/>
      <c r="B65" s="22">
        <f t="shared" ca="1" si="2"/>
        <v>-18</v>
      </c>
      <c r="C65" s="2">
        <f t="shared" ca="1" si="3"/>
        <v>-300</v>
      </c>
      <c r="D65" s="5"/>
      <c r="E65" s="5"/>
      <c r="F65" s="22">
        <f t="shared" ca="1" si="4"/>
        <v>-18</v>
      </c>
      <c r="G65" s="2">
        <f t="shared" ca="1" si="5"/>
        <v>0</v>
      </c>
      <c r="H65" s="5"/>
      <c r="I65" s="5"/>
      <c r="J65" s="22">
        <f t="shared" ca="1" si="6"/>
        <v>-18</v>
      </c>
      <c r="K65" s="2">
        <f t="shared" ca="1" si="7"/>
        <v>0</v>
      </c>
      <c r="L65" s="5"/>
      <c r="M65" s="5"/>
      <c r="N65" s="22">
        <f t="shared" ca="1" si="8"/>
        <v>-18</v>
      </c>
      <c r="O65" s="3">
        <f t="shared" ca="1" si="13"/>
        <v>0</v>
      </c>
      <c r="P65" s="5"/>
      <c r="Q65" s="5"/>
      <c r="R65" s="22">
        <f ca="1">Table13[[#This Row],[UNDRLYNG PX]]</f>
        <v>-18</v>
      </c>
      <c r="S65" s="35">
        <f t="shared" ca="1" si="9"/>
        <v>0</v>
      </c>
      <c r="T65" s="5"/>
      <c r="U65" s="5"/>
      <c r="V65" s="22">
        <f t="shared" ca="1" si="10"/>
        <v>-18</v>
      </c>
      <c r="W65" s="3">
        <f t="shared" ca="1" si="14"/>
        <v>0</v>
      </c>
      <c r="X65" s="5"/>
      <c r="Y65" s="22">
        <f t="shared" ca="1" si="11"/>
        <v>-18</v>
      </c>
      <c r="Z65" s="35">
        <f t="shared" ca="1" si="12"/>
        <v>-300</v>
      </c>
      <c r="AA65" s="5"/>
    </row>
    <row r="66" spans="1:27" x14ac:dyDescent="0.25">
      <c r="A66" s="5"/>
      <c r="B66" s="21">
        <f t="shared" ca="1" si="2"/>
        <v>-17</v>
      </c>
      <c r="C66" s="2">
        <f t="shared" ca="1" si="3"/>
        <v>-300</v>
      </c>
      <c r="D66" s="5"/>
      <c r="E66" s="5"/>
      <c r="F66" s="21">
        <f t="shared" ca="1" si="4"/>
        <v>-17</v>
      </c>
      <c r="G66" s="2">
        <f t="shared" ca="1" si="5"/>
        <v>0</v>
      </c>
      <c r="H66" s="5"/>
      <c r="I66" s="5"/>
      <c r="J66" s="21">
        <f t="shared" ca="1" si="6"/>
        <v>-17</v>
      </c>
      <c r="K66" s="2">
        <f t="shared" ca="1" si="7"/>
        <v>0</v>
      </c>
      <c r="L66" s="5"/>
      <c r="M66" s="5"/>
      <c r="N66" s="21">
        <f t="shared" ca="1" si="8"/>
        <v>-17</v>
      </c>
      <c r="O66" s="2">
        <f t="shared" ca="1" si="13"/>
        <v>0</v>
      </c>
      <c r="P66" s="5"/>
      <c r="Q66" s="5"/>
      <c r="R66" s="21">
        <f ca="1">Table13[[#This Row],[UNDRLYNG PX]]</f>
        <v>-17</v>
      </c>
      <c r="S66" s="35">
        <f t="shared" ca="1" si="9"/>
        <v>0</v>
      </c>
      <c r="T66" s="5"/>
      <c r="U66" s="5"/>
      <c r="V66" s="21">
        <f t="shared" ca="1" si="10"/>
        <v>-17</v>
      </c>
      <c r="W66" s="2">
        <f t="shared" ca="1" si="14"/>
        <v>0</v>
      </c>
      <c r="X66" s="5"/>
      <c r="Y66" s="21">
        <f t="shared" ca="1" si="11"/>
        <v>-17</v>
      </c>
      <c r="Z66" s="35">
        <f t="shared" ca="1" si="12"/>
        <v>-300</v>
      </c>
      <c r="AA66" s="5"/>
    </row>
    <row r="67" spans="1:27" x14ac:dyDescent="0.25">
      <c r="A67" s="5"/>
      <c r="B67" s="22">
        <f t="shared" ca="1" si="2"/>
        <v>-16</v>
      </c>
      <c r="C67" s="2">
        <f t="shared" ca="1" si="3"/>
        <v>-300</v>
      </c>
      <c r="D67" s="5"/>
      <c r="E67" s="5"/>
      <c r="F67" s="22">
        <f t="shared" ca="1" si="4"/>
        <v>-16</v>
      </c>
      <c r="G67" s="2">
        <f t="shared" ca="1" si="5"/>
        <v>0</v>
      </c>
      <c r="H67" s="5"/>
      <c r="I67" s="5"/>
      <c r="J67" s="22">
        <f t="shared" ca="1" si="6"/>
        <v>-16</v>
      </c>
      <c r="K67" s="2">
        <f t="shared" ca="1" si="7"/>
        <v>0</v>
      </c>
      <c r="L67" s="5"/>
      <c r="M67" s="5"/>
      <c r="N67" s="22">
        <f t="shared" ca="1" si="8"/>
        <v>-16</v>
      </c>
      <c r="O67" s="3">
        <f t="shared" ca="1" si="13"/>
        <v>0</v>
      </c>
      <c r="P67" s="5"/>
      <c r="Q67" s="5"/>
      <c r="R67" s="22">
        <f ca="1">Table13[[#This Row],[UNDRLYNG PX]]</f>
        <v>-16</v>
      </c>
      <c r="S67" s="35">
        <f t="shared" ca="1" si="9"/>
        <v>0</v>
      </c>
      <c r="T67" s="5"/>
      <c r="U67" s="5"/>
      <c r="V67" s="22">
        <f t="shared" ca="1" si="10"/>
        <v>-16</v>
      </c>
      <c r="W67" s="3">
        <f t="shared" ca="1" si="14"/>
        <v>0</v>
      </c>
      <c r="X67" s="5"/>
      <c r="Y67" s="22">
        <f t="shared" ca="1" si="11"/>
        <v>-16</v>
      </c>
      <c r="Z67" s="35">
        <f t="shared" ca="1" si="12"/>
        <v>-300</v>
      </c>
      <c r="AA67" s="5"/>
    </row>
    <row r="68" spans="1:27" x14ac:dyDescent="0.25">
      <c r="A68" s="5"/>
      <c r="B68" s="21">
        <f t="shared" ca="1" si="2"/>
        <v>-15</v>
      </c>
      <c r="C68" s="2">
        <f t="shared" ca="1" si="3"/>
        <v>-300</v>
      </c>
      <c r="D68" s="5"/>
      <c r="E68" s="5"/>
      <c r="F68" s="21">
        <f t="shared" ca="1" si="4"/>
        <v>-15</v>
      </c>
      <c r="G68" s="2">
        <f t="shared" ca="1" si="5"/>
        <v>0</v>
      </c>
      <c r="H68" s="5"/>
      <c r="I68" s="5"/>
      <c r="J68" s="21">
        <f t="shared" ca="1" si="6"/>
        <v>-15</v>
      </c>
      <c r="K68" s="2">
        <f t="shared" ca="1" si="7"/>
        <v>0</v>
      </c>
      <c r="L68" s="5"/>
      <c r="M68" s="5"/>
      <c r="N68" s="21">
        <f t="shared" ca="1" si="8"/>
        <v>-15</v>
      </c>
      <c r="O68" s="2">
        <f t="shared" ca="1" si="13"/>
        <v>0</v>
      </c>
      <c r="P68" s="5"/>
      <c r="Q68" s="5"/>
      <c r="R68" s="21">
        <f ca="1">Table13[[#This Row],[UNDRLYNG PX]]</f>
        <v>-15</v>
      </c>
      <c r="S68" s="35">
        <f t="shared" ca="1" si="9"/>
        <v>0</v>
      </c>
      <c r="T68" s="5"/>
      <c r="U68" s="5"/>
      <c r="V68" s="21">
        <f t="shared" ca="1" si="10"/>
        <v>-15</v>
      </c>
      <c r="W68" s="2">
        <f t="shared" ca="1" si="14"/>
        <v>0</v>
      </c>
      <c r="X68" s="5"/>
      <c r="Y68" s="21">
        <f t="shared" ca="1" si="11"/>
        <v>-15</v>
      </c>
      <c r="Z68" s="35">
        <f t="shared" ca="1" si="12"/>
        <v>-300</v>
      </c>
      <c r="AA68" s="5"/>
    </row>
    <row r="69" spans="1:27" x14ac:dyDescent="0.25">
      <c r="A69" s="5"/>
      <c r="B69" s="22">
        <f t="shared" ca="1" si="2"/>
        <v>-14</v>
      </c>
      <c r="C69" s="2">
        <f t="shared" ca="1" si="3"/>
        <v>-300</v>
      </c>
      <c r="D69" s="5"/>
      <c r="E69" s="5"/>
      <c r="F69" s="22">
        <f t="shared" ca="1" si="4"/>
        <v>-14</v>
      </c>
      <c r="G69" s="2">
        <f t="shared" ca="1" si="5"/>
        <v>0</v>
      </c>
      <c r="H69" s="5"/>
      <c r="I69" s="5"/>
      <c r="J69" s="22">
        <f t="shared" ca="1" si="6"/>
        <v>-14</v>
      </c>
      <c r="K69" s="2">
        <f t="shared" ca="1" si="7"/>
        <v>0</v>
      </c>
      <c r="L69" s="5"/>
      <c r="M69" s="5"/>
      <c r="N69" s="22">
        <f t="shared" ca="1" si="8"/>
        <v>-14</v>
      </c>
      <c r="O69" s="3">
        <f t="shared" ca="1" si="13"/>
        <v>0</v>
      </c>
      <c r="P69" s="5"/>
      <c r="Q69" s="5"/>
      <c r="R69" s="22">
        <f ca="1">Table13[[#This Row],[UNDRLYNG PX]]</f>
        <v>-14</v>
      </c>
      <c r="S69" s="35">
        <f t="shared" ca="1" si="9"/>
        <v>0</v>
      </c>
      <c r="T69" s="5"/>
      <c r="U69" s="5"/>
      <c r="V69" s="22">
        <f t="shared" ca="1" si="10"/>
        <v>-14</v>
      </c>
      <c r="W69" s="3">
        <f t="shared" ca="1" si="14"/>
        <v>0</v>
      </c>
      <c r="X69" s="5"/>
      <c r="Y69" s="22">
        <f t="shared" ca="1" si="11"/>
        <v>-14</v>
      </c>
      <c r="Z69" s="35">
        <f t="shared" ca="1" si="12"/>
        <v>-300</v>
      </c>
      <c r="AA69" s="5"/>
    </row>
    <row r="70" spans="1:27" x14ac:dyDescent="0.25">
      <c r="A70" s="5"/>
      <c r="B70" s="21">
        <f t="shared" ca="1" si="2"/>
        <v>-13</v>
      </c>
      <c r="C70" s="2">
        <f t="shared" ca="1" si="3"/>
        <v>-300</v>
      </c>
      <c r="D70" s="5"/>
      <c r="E70" s="5"/>
      <c r="F70" s="21">
        <f t="shared" ca="1" si="4"/>
        <v>-13</v>
      </c>
      <c r="G70" s="2">
        <f t="shared" ca="1" si="5"/>
        <v>0</v>
      </c>
      <c r="H70" s="5"/>
      <c r="I70" s="5"/>
      <c r="J70" s="21">
        <f t="shared" ca="1" si="6"/>
        <v>-13</v>
      </c>
      <c r="K70" s="2">
        <f t="shared" ca="1" si="7"/>
        <v>0</v>
      </c>
      <c r="L70" s="5"/>
      <c r="M70" s="5"/>
      <c r="N70" s="21">
        <f t="shared" ca="1" si="8"/>
        <v>-13</v>
      </c>
      <c r="O70" s="2">
        <f t="shared" ca="1" si="13"/>
        <v>0</v>
      </c>
      <c r="P70" s="5"/>
      <c r="Q70" s="5"/>
      <c r="R70" s="21">
        <f ca="1">Table13[[#This Row],[UNDRLYNG PX]]</f>
        <v>-13</v>
      </c>
      <c r="S70" s="35">
        <f t="shared" ca="1" si="9"/>
        <v>0</v>
      </c>
      <c r="T70" s="5"/>
      <c r="U70" s="5"/>
      <c r="V70" s="21">
        <f t="shared" ca="1" si="10"/>
        <v>-13</v>
      </c>
      <c r="W70" s="2">
        <f t="shared" ca="1" si="14"/>
        <v>0</v>
      </c>
      <c r="X70" s="5"/>
      <c r="Y70" s="21">
        <f t="shared" ca="1" si="11"/>
        <v>-13</v>
      </c>
      <c r="Z70" s="35">
        <f t="shared" ca="1" si="12"/>
        <v>-300</v>
      </c>
      <c r="AA70" s="5"/>
    </row>
    <row r="71" spans="1:27" x14ac:dyDescent="0.25">
      <c r="A71" s="5"/>
      <c r="B71" s="22">
        <f t="shared" ca="1" si="2"/>
        <v>-12</v>
      </c>
      <c r="C71" s="2">
        <f t="shared" ca="1" si="3"/>
        <v>-300</v>
      </c>
      <c r="D71" s="5"/>
      <c r="E71" s="5"/>
      <c r="F71" s="22">
        <f t="shared" ca="1" si="4"/>
        <v>-12</v>
      </c>
      <c r="G71" s="2">
        <f t="shared" ca="1" si="5"/>
        <v>0</v>
      </c>
      <c r="H71" s="5"/>
      <c r="I71" s="5"/>
      <c r="J71" s="22">
        <f t="shared" ca="1" si="6"/>
        <v>-12</v>
      </c>
      <c r="K71" s="2">
        <f t="shared" ca="1" si="7"/>
        <v>0</v>
      </c>
      <c r="L71" s="5"/>
      <c r="M71" s="5"/>
      <c r="N71" s="22">
        <f t="shared" ca="1" si="8"/>
        <v>-12</v>
      </c>
      <c r="O71" s="3">
        <f t="shared" ca="1" si="13"/>
        <v>0</v>
      </c>
      <c r="P71" s="5"/>
      <c r="Q71" s="5"/>
      <c r="R71" s="22">
        <f ca="1">Table13[[#This Row],[UNDRLYNG PX]]</f>
        <v>-12</v>
      </c>
      <c r="S71" s="35">
        <f t="shared" ca="1" si="9"/>
        <v>0</v>
      </c>
      <c r="T71" s="5"/>
      <c r="U71" s="5"/>
      <c r="V71" s="22">
        <f t="shared" ca="1" si="10"/>
        <v>-12</v>
      </c>
      <c r="W71" s="3">
        <f t="shared" ca="1" si="14"/>
        <v>0</v>
      </c>
      <c r="X71" s="5"/>
      <c r="Y71" s="22">
        <f t="shared" ca="1" si="11"/>
        <v>-12</v>
      </c>
      <c r="Z71" s="35">
        <f t="shared" ca="1" si="12"/>
        <v>-300</v>
      </c>
      <c r="AA71" s="5"/>
    </row>
    <row r="72" spans="1:27" x14ac:dyDescent="0.25">
      <c r="A72" s="5"/>
      <c r="B72" s="21">
        <f t="shared" ca="1" si="2"/>
        <v>-11</v>
      </c>
      <c r="C72" s="2">
        <f t="shared" ca="1" si="3"/>
        <v>-300</v>
      </c>
      <c r="D72" s="5"/>
      <c r="E72" s="5"/>
      <c r="F72" s="21">
        <f t="shared" ca="1" si="4"/>
        <v>-11</v>
      </c>
      <c r="G72" s="2">
        <f t="shared" ca="1" si="5"/>
        <v>0</v>
      </c>
      <c r="H72" s="5"/>
      <c r="I72" s="5"/>
      <c r="J72" s="21">
        <f t="shared" ca="1" si="6"/>
        <v>-11</v>
      </c>
      <c r="K72" s="2">
        <f t="shared" ca="1" si="7"/>
        <v>0</v>
      </c>
      <c r="L72" s="5"/>
      <c r="M72" s="5"/>
      <c r="N72" s="21">
        <f t="shared" ca="1" si="8"/>
        <v>-11</v>
      </c>
      <c r="O72" s="2">
        <f t="shared" ca="1" si="13"/>
        <v>0</v>
      </c>
      <c r="P72" s="5"/>
      <c r="Q72" s="5"/>
      <c r="R72" s="21">
        <f ca="1">Table13[[#This Row],[UNDRLYNG PX]]</f>
        <v>-11</v>
      </c>
      <c r="S72" s="35">
        <f t="shared" ca="1" si="9"/>
        <v>0</v>
      </c>
      <c r="T72" s="5"/>
      <c r="U72" s="5"/>
      <c r="V72" s="21">
        <f t="shared" ca="1" si="10"/>
        <v>-11</v>
      </c>
      <c r="W72" s="2">
        <f t="shared" ca="1" si="14"/>
        <v>0</v>
      </c>
      <c r="X72" s="5"/>
      <c r="Y72" s="21">
        <f t="shared" ca="1" si="11"/>
        <v>-11</v>
      </c>
      <c r="Z72" s="35">
        <f t="shared" ca="1" si="12"/>
        <v>-300</v>
      </c>
      <c r="AA72" s="5"/>
    </row>
    <row r="73" spans="1:27" x14ac:dyDescent="0.25">
      <c r="A73" s="5"/>
      <c r="B73" s="22">
        <f t="shared" ca="1" si="2"/>
        <v>-10</v>
      </c>
      <c r="C73" s="2">
        <f t="shared" ca="1" si="3"/>
        <v>-300</v>
      </c>
      <c r="D73" s="5"/>
      <c r="E73" s="5"/>
      <c r="F73" s="22">
        <f t="shared" ca="1" si="4"/>
        <v>-10</v>
      </c>
      <c r="G73" s="2">
        <f t="shared" ca="1" si="5"/>
        <v>0</v>
      </c>
      <c r="H73" s="5"/>
      <c r="I73" s="5"/>
      <c r="J73" s="22">
        <f t="shared" ca="1" si="6"/>
        <v>-10</v>
      </c>
      <c r="K73" s="2">
        <f t="shared" ca="1" si="7"/>
        <v>0</v>
      </c>
      <c r="L73" s="5"/>
      <c r="M73" s="5"/>
      <c r="N73" s="22">
        <f t="shared" ca="1" si="8"/>
        <v>-10</v>
      </c>
      <c r="O73" s="3">
        <f t="shared" ca="1" si="13"/>
        <v>0</v>
      </c>
      <c r="P73" s="5"/>
      <c r="Q73" s="5"/>
      <c r="R73" s="22">
        <f ca="1">Table13[[#This Row],[UNDRLYNG PX]]</f>
        <v>-10</v>
      </c>
      <c r="S73" s="35">
        <f t="shared" ca="1" si="9"/>
        <v>0</v>
      </c>
      <c r="T73" s="5"/>
      <c r="U73" s="5"/>
      <c r="V73" s="22">
        <f t="shared" ca="1" si="10"/>
        <v>-10</v>
      </c>
      <c r="W73" s="3">
        <f t="shared" ca="1" si="14"/>
        <v>0</v>
      </c>
      <c r="X73" s="5"/>
      <c r="Y73" s="22">
        <f t="shared" ca="1" si="11"/>
        <v>-10</v>
      </c>
      <c r="Z73" s="35">
        <f t="shared" ca="1" si="12"/>
        <v>-300</v>
      </c>
      <c r="AA73" s="5"/>
    </row>
    <row r="74" spans="1:27" x14ac:dyDescent="0.25">
      <c r="A74" s="5"/>
      <c r="B74" s="21">
        <f t="shared" ca="1" si="2"/>
        <v>-9</v>
      </c>
      <c r="C74" s="2">
        <f t="shared" ca="1" si="3"/>
        <v>-300</v>
      </c>
      <c r="D74" s="5"/>
      <c r="E74" s="5"/>
      <c r="F74" s="21">
        <f t="shared" ca="1" si="4"/>
        <v>-9</v>
      </c>
      <c r="G74" s="2">
        <f t="shared" ca="1" si="5"/>
        <v>0</v>
      </c>
      <c r="H74" s="5"/>
      <c r="I74" s="5"/>
      <c r="J74" s="21">
        <f t="shared" ca="1" si="6"/>
        <v>-9</v>
      </c>
      <c r="K74" s="2">
        <f t="shared" ca="1" si="7"/>
        <v>0</v>
      </c>
      <c r="L74" s="5"/>
      <c r="M74" s="5"/>
      <c r="N74" s="21">
        <f t="shared" ca="1" si="8"/>
        <v>-9</v>
      </c>
      <c r="O74" s="2">
        <f t="shared" ca="1" si="13"/>
        <v>0</v>
      </c>
      <c r="P74" s="5"/>
      <c r="Q74" s="5"/>
      <c r="R74" s="21">
        <f ca="1">Table13[[#This Row],[UNDRLYNG PX]]</f>
        <v>-9</v>
      </c>
      <c r="S74" s="35">
        <f t="shared" ca="1" si="9"/>
        <v>0</v>
      </c>
      <c r="T74" s="5"/>
      <c r="U74" s="5"/>
      <c r="V74" s="21">
        <f t="shared" ca="1" si="10"/>
        <v>-9</v>
      </c>
      <c r="W74" s="2">
        <f t="shared" ca="1" si="14"/>
        <v>0</v>
      </c>
      <c r="X74" s="5"/>
      <c r="Y74" s="21">
        <f t="shared" ca="1" si="11"/>
        <v>-9</v>
      </c>
      <c r="Z74" s="35">
        <f t="shared" ca="1" si="12"/>
        <v>-300</v>
      </c>
      <c r="AA74" s="5"/>
    </row>
    <row r="75" spans="1:27" x14ac:dyDescent="0.25">
      <c r="A75" s="5"/>
      <c r="B75" s="22">
        <f t="shared" ca="1" si="2"/>
        <v>-8</v>
      </c>
      <c r="C75" s="2">
        <f t="shared" ca="1" si="3"/>
        <v>-300</v>
      </c>
      <c r="D75" s="5"/>
      <c r="E75" s="5"/>
      <c r="F75" s="22">
        <f t="shared" ca="1" si="4"/>
        <v>-8</v>
      </c>
      <c r="G75" s="2">
        <f t="shared" ca="1" si="5"/>
        <v>0</v>
      </c>
      <c r="H75" s="5"/>
      <c r="I75" s="5"/>
      <c r="J75" s="22">
        <f t="shared" ca="1" si="6"/>
        <v>-8</v>
      </c>
      <c r="K75" s="2">
        <f t="shared" ca="1" si="7"/>
        <v>0</v>
      </c>
      <c r="L75" s="5"/>
      <c r="M75" s="5"/>
      <c r="N75" s="22">
        <f t="shared" ca="1" si="8"/>
        <v>-8</v>
      </c>
      <c r="O75" s="3">
        <f t="shared" ca="1" si="13"/>
        <v>0</v>
      </c>
      <c r="P75" s="5"/>
      <c r="Q75" s="5"/>
      <c r="R75" s="22">
        <f ca="1">Table13[[#This Row],[UNDRLYNG PX]]</f>
        <v>-8</v>
      </c>
      <c r="S75" s="35">
        <f t="shared" ca="1" si="9"/>
        <v>0</v>
      </c>
      <c r="T75" s="5"/>
      <c r="U75" s="5"/>
      <c r="V75" s="22">
        <f t="shared" ca="1" si="10"/>
        <v>-8</v>
      </c>
      <c r="W75" s="3">
        <f t="shared" ca="1" si="14"/>
        <v>0</v>
      </c>
      <c r="X75" s="5"/>
      <c r="Y75" s="22">
        <f t="shared" ca="1" si="11"/>
        <v>-8</v>
      </c>
      <c r="Z75" s="35">
        <f t="shared" ca="1" si="12"/>
        <v>-300</v>
      </c>
      <c r="AA75" s="5"/>
    </row>
    <row r="76" spans="1:27" x14ac:dyDescent="0.25">
      <c r="A76" s="5"/>
      <c r="B76" s="21">
        <f t="shared" ca="1" si="2"/>
        <v>-7</v>
      </c>
      <c r="C76" s="2">
        <f t="shared" ca="1" si="3"/>
        <v>-300</v>
      </c>
      <c r="D76" s="5"/>
      <c r="E76" s="5"/>
      <c r="F76" s="21">
        <f t="shared" ca="1" si="4"/>
        <v>-7</v>
      </c>
      <c r="G76" s="2">
        <f t="shared" ca="1" si="5"/>
        <v>0</v>
      </c>
      <c r="H76" s="5"/>
      <c r="I76" s="5"/>
      <c r="J76" s="21">
        <f t="shared" ca="1" si="6"/>
        <v>-7</v>
      </c>
      <c r="K76" s="2">
        <f t="shared" ca="1" si="7"/>
        <v>0</v>
      </c>
      <c r="L76" s="5"/>
      <c r="M76" s="5"/>
      <c r="N76" s="21">
        <f t="shared" ca="1" si="8"/>
        <v>-7</v>
      </c>
      <c r="O76" s="2">
        <f t="shared" ca="1" si="13"/>
        <v>0</v>
      </c>
      <c r="P76" s="5"/>
      <c r="Q76" s="5"/>
      <c r="R76" s="21">
        <f ca="1">Table13[[#This Row],[UNDRLYNG PX]]</f>
        <v>-7</v>
      </c>
      <c r="S76" s="35">
        <f t="shared" ca="1" si="9"/>
        <v>0</v>
      </c>
      <c r="T76" s="5"/>
      <c r="U76" s="5"/>
      <c r="V76" s="21">
        <f t="shared" ca="1" si="10"/>
        <v>-7</v>
      </c>
      <c r="W76" s="2">
        <f t="shared" ca="1" si="14"/>
        <v>0</v>
      </c>
      <c r="X76" s="5"/>
      <c r="Y76" s="21">
        <f t="shared" ca="1" si="11"/>
        <v>-7</v>
      </c>
      <c r="Z76" s="35">
        <f t="shared" ca="1" si="12"/>
        <v>-300</v>
      </c>
      <c r="AA76" s="5"/>
    </row>
    <row r="77" spans="1:27" x14ac:dyDescent="0.25">
      <c r="A77" s="5"/>
      <c r="B77" s="22">
        <f t="shared" ca="1" si="2"/>
        <v>-6</v>
      </c>
      <c r="C77" s="2">
        <f t="shared" ca="1" si="3"/>
        <v>-300</v>
      </c>
      <c r="D77" s="5"/>
      <c r="E77" s="5"/>
      <c r="F77" s="22">
        <f t="shared" ca="1" si="4"/>
        <v>-6</v>
      </c>
      <c r="G77" s="2">
        <f t="shared" ca="1" si="5"/>
        <v>0</v>
      </c>
      <c r="H77" s="5"/>
      <c r="I77" s="5"/>
      <c r="J77" s="22">
        <f t="shared" ca="1" si="6"/>
        <v>-6</v>
      </c>
      <c r="K77" s="2">
        <f t="shared" ca="1" si="7"/>
        <v>0</v>
      </c>
      <c r="L77" s="5"/>
      <c r="M77" s="5"/>
      <c r="N77" s="22">
        <f t="shared" ca="1" si="8"/>
        <v>-6</v>
      </c>
      <c r="O77" s="3">
        <f t="shared" ca="1" si="13"/>
        <v>0</v>
      </c>
      <c r="P77" s="5"/>
      <c r="Q77" s="5"/>
      <c r="R77" s="22">
        <f ca="1">Table13[[#This Row],[UNDRLYNG PX]]</f>
        <v>-6</v>
      </c>
      <c r="S77" s="35">
        <f t="shared" ca="1" si="9"/>
        <v>0</v>
      </c>
      <c r="T77" s="5"/>
      <c r="U77" s="5"/>
      <c r="V77" s="22">
        <f t="shared" ca="1" si="10"/>
        <v>-6</v>
      </c>
      <c r="W77" s="3">
        <f t="shared" ca="1" si="14"/>
        <v>0</v>
      </c>
      <c r="X77" s="5"/>
      <c r="Y77" s="22">
        <f t="shared" ca="1" si="11"/>
        <v>-6</v>
      </c>
      <c r="Z77" s="35">
        <f t="shared" ca="1" si="12"/>
        <v>-300</v>
      </c>
      <c r="AA77" s="5"/>
    </row>
    <row r="78" spans="1:27" x14ac:dyDescent="0.25">
      <c r="A78" s="5"/>
      <c r="B78" s="21">
        <f t="shared" ca="1" si="2"/>
        <v>-5</v>
      </c>
      <c r="C78" s="2">
        <f t="shared" ca="1" si="3"/>
        <v>-300</v>
      </c>
      <c r="D78" s="5"/>
      <c r="E78" s="5"/>
      <c r="F78" s="21">
        <f t="shared" ca="1" si="4"/>
        <v>-5</v>
      </c>
      <c r="G78" s="2">
        <f t="shared" ca="1" si="5"/>
        <v>0</v>
      </c>
      <c r="H78" s="5"/>
      <c r="I78" s="5"/>
      <c r="J78" s="21">
        <f t="shared" ca="1" si="6"/>
        <v>-5</v>
      </c>
      <c r="K78" s="2">
        <f t="shared" ca="1" si="7"/>
        <v>0</v>
      </c>
      <c r="L78" s="5"/>
      <c r="M78" s="5"/>
      <c r="N78" s="21">
        <f t="shared" ca="1" si="8"/>
        <v>-5</v>
      </c>
      <c r="O78" s="2">
        <f t="shared" ca="1" si="13"/>
        <v>0</v>
      </c>
      <c r="P78" s="5"/>
      <c r="Q78" s="5"/>
      <c r="R78" s="21">
        <f ca="1">Table13[[#This Row],[UNDRLYNG PX]]</f>
        <v>-5</v>
      </c>
      <c r="S78" s="35">
        <f t="shared" ca="1" si="9"/>
        <v>0</v>
      </c>
      <c r="T78" s="5"/>
      <c r="U78" s="5"/>
      <c r="V78" s="21">
        <f t="shared" ca="1" si="10"/>
        <v>-5</v>
      </c>
      <c r="W78" s="2">
        <f t="shared" ca="1" si="14"/>
        <v>0</v>
      </c>
      <c r="X78" s="5"/>
      <c r="Y78" s="21">
        <f t="shared" ca="1" si="11"/>
        <v>-5</v>
      </c>
      <c r="Z78" s="35">
        <f t="shared" ca="1" si="12"/>
        <v>-300</v>
      </c>
      <c r="AA78" s="5"/>
    </row>
    <row r="79" spans="1:27" x14ac:dyDescent="0.25">
      <c r="A79" s="5"/>
      <c r="B79" s="22">
        <f t="shared" ca="1" si="2"/>
        <v>-4</v>
      </c>
      <c r="C79" s="2">
        <f t="shared" ca="1" si="3"/>
        <v>-300</v>
      </c>
      <c r="D79" s="5"/>
      <c r="E79" s="5"/>
      <c r="F79" s="22">
        <f t="shared" ca="1" si="4"/>
        <v>-4</v>
      </c>
      <c r="G79" s="2">
        <f t="shared" ca="1" si="5"/>
        <v>0</v>
      </c>
      <c r="H79" s="5"/>
      <c r="I79" s="5"/>
      <c r="J79" s="22">
        <f t="shared" ca="1" si="6"/>
        <v>-4</v>
      </c>
      <c r="K79" s="2">
        <f t="shared" ca="1" si="7"/>
        <v>0</v>
      </c>
      <c r="L79" s="5"/>
      <c r="M79" s="5"/>
      <c r="N79" s="22">
        <f t="shared" ca="1" si="8"/>
        <v>-4</v>
      </c>
      <c r="O79" s="3">
        <f t="shared" ca="1" si="13"/>
        <v>0</v>
      </c>
      <c r="P79" s="5"/>
      <c r="Q79" s="5"/>
      <c r="R79" s="22">
        <f ca="1">Table13[[#This Row],[UNDRLYNG PX]]</f>
        <v>-4</v>
      </c>
      <c r="S79" s="35">
        <f t="shared" ca="1" si="9"/>
        <v>0</v>
      </c>
      <c r="T79" s="5"/>
      <c r="U79" s="5"/>
      <c r="V79" s="22">
        <f t="shared" ca="1" si="10"/>
        <v>-4</v>
      </c>
      <c r="W79" s="3">
        <f t="shared" ca="1" si="14"/>
        <v>0</v>
      </c>
      <c r="X79" s="5"/>
      <c r="Y79" s="22">
        <f t="shared" ca="1" si="11"/>
        <v>-4</v>
      </c>
      <c r="Z79" s="35">
        <f t="shared" ca="1" si="12"/>
        <v>-300</v>
      </c>
      <c r="AA79" s="5"/>
    </row>
    <row r="80" spans="1:27" x14ac:dyDescent="0.25">
      <c r="A80" s="5"/>
      <c r="B80" s="21">
        <f t="shared" ca="1" si="2"/>
        <v>-3</v>
      </c>
      <c r="C80" s="2">
        <f t="shared" ca="1" si="3"/>
        <v>-300</v>
      </c>
      <c r="D80" s="5"/>
      <c r="E80" s="5"/>
      <c r="F80" s="21">
        <f t="shared" ca="1" si="4"/>
        <v>-3</v>
      </c>
      <c r="G80" s="2">
        <f t="shared" ca="1" si="5"/>
        <v>0</v>
      </c>
      <c r="H80" s="5"/>
      <c r="I80" s="5"/>
      <c r="J80" s="21">
        <f t="shared" ca="1" si="6"/>
        <v>-3</v>
      </c>
      <c r="K80" s="2">
        <f t="shared" ca="1" si="7"/>
        <v>0</v>
      </c>
      <c r="L80" s="5"/>
      <c r="M80" s="5"/>
      <c r="N80" s="21">
        <f t="shared" ca="1" si="8"/>
        <v>-3</v>
      </c>
      <c r="O80" s="2">
        <f t="shared" ca="1" si="13"/>
        <v>0</v>
      </c>
      <c r="P80" s="5"/>
      <c r="Q80" s="5"/>
      <c r="R80" s="21">
        <f ca="1">Table13[[#This Row],[UNDRLYNG PX]]</f>
        <v>-3</v>
      </c>
      <c r="S80" s="35">
        <f t="shared" ca="1" si="9"/>
        <v>0</v>
      </c>
      <c r="T80" s="5"/>
      <c r="U80" s="5"/>
      <c r="V80" s="21">
        <f t="shared" ca="1" si="10"/>
        <v>-3</v>
      </c>
      <c r="W80" s="2">
        <f t="shared" ca="1" si="14"/>
        <v>0</v>
      </c>
      <c r="X80" s="5"/>
      <c r="Y80" s="21">
        <f t="shared" ca="1" si="11"/>
        <v>-3</v>
      </c>
      <c r="Z80" s="35">
        <f t="shared" ca="1" si="12"/>
        <v>-300</v>
      </c>
      <c r="AA80" s="5"/>
    </row>
    <row r="81" spans="1:27" x14ac:dyDescent="0.25">
      <c r="A81" s="5"/>
      <c r="B81" s="22">
        <f t="shared" ca="1" si="2"/>
        <v>-2</v>
      </c>
      <c r="C81" s="2">
        <f t="shared" ca="1" si="3"/>
        <v>-300</v>
      </c>
      <c r="D81" s="5"/>
      <c r="E81" s="5"/>
      <c r="F81" s="22">
        <f t="shared" ca="1" si="4"/>
        <v>-2</v>
      </c>
      <c r="G81" s="2">
        <f t="shared" ca="1" si="5"/>
        <v>0</v>
      </c>
      <c r="H81" s="5"/>
      <c r="I81" s="5"/>
      <c r="J81" s="22">
        <f t="shared" ca="1" si="6"/>
        <v>-2</v>
      </c>
      <c r="K81" s="2">
        <f t="shared" ca="1" si="7"/>
        <v>0</v>
      </c>
      <c r="L81" s="5"/>
      <c r="M81" s="5"/>
      <c r="N81" s="22">
        <f t="shared" ca="1" si="8"/>
        <v>-2</v>
      </c>
      <c r="O81" s="3">
        <f t="shared" ca="1" si="13"/>
        <v>0</v>
      </c>
      <c r="P81" s="5"/>
      <c r="Q81" s="5"/>
      <c r="R81" s="22">
        <f ca="1">Table13[[#This Row],[UNDRLYNG PX]]</f>
        <v>-2</v>
      </c>
      <c r="S81" s="35">
        <f t="shared" ca="1" si="9"/>
        <v>0</v>
      </c>
      <c r="T81" s="5"/>
      <c r="U81" s="5"/>
      <c r="V81" s="22">
        <f t="shared" ca="1" si="10"/>
        <v>-2</v>
      </c>
      <c r="W81" s="3">
        <f t="shared" ca="1" si="14"/>
        <v>0</v>
      </c>
      <c r="X81" s="5"/>
      <c r="Y81" s="22">
        <f t="shared" ca="1" si="11"/>
        <v>-2</v>
      </c>
      <c r="Z81" s="35">
        <f t="shared" ca="1" si="12"/>
        <v>-300</v>
      </c>
      <c r="AA81" s="5"/>
    </row>
    <row r="82" spans="1:27" x14ac:dyDescent="0.25">
      <c r="A82" s="5"/>
      <c r="B82" s="21">
        <f t="shared" ca="1" si="2"/>
        <v>-1</v>
      </c>
      <c r="C82" s="2">
        <f t="shared" ca="1" si="3"/>
        <v>-300</v>
      </c>
      <c r="D82" s="5"/>
      <c r="E82" s="5"/>
      <c r="F82" s="21">
        <f t="shared" ca="1" si="4"/>
        <v>-1</v>
      </c>
      <c r="G82" s="2">
        <f t="shared" ca="1" si="5"/>
        <v>0</v>
      </c>
      <c r="H82" s="5"/>
      <c r="I82" s="5"/>
      <c r="J82" s="21">
        <f t="shared" ca="1" si="6"/>
        <v>-1</v>
      </c>
      <c r="K82" s="2">
        <f t="shared" ca="1" si="7"/>
        <v>0</v>
      </c>
      <c r="L82" s="5"/>
      <c r="M82" s="5"/>
      <c r="N82" s="21">
        <f t="shared" ca="1" si="8"/>
        <v>-1</v>
      </c>
      <c r="O82" s="2">
        <f t="shared" ca="1" si="13"/>
        <v>0</v>
      </c>
      <c r="P82" s="5"/>
      <c r="Q82" s="5"/>
      <c r="R82" s="21">
        <f ca="1">Table13[[#This Row],[UNDRLYNG PX]]</f>
        <v>-1</v>
      </c>
      <c r="S82" s="35">
        <f t="shared" ca="1" si="9"/>
        <v>0</v>
      </c>
      <c r="T82" s="5"/>
      <c r="U82" s="5"/>
      <c r="V82" s="21">
        <f t="shared" ca="1" si="10"/>
        <v>-1</v>
      </c>
      <c r="W82" s="2">
        <f t="shared" ca="1" si="14"/>
        <v>0</v>
      </c>
      <c r="X82" s="5"/>
      <c r="Y82" s="21">
        <f t="shared" ca="1" si="11"/>
        <v>-1</v>
      </c>
      <c r="Z82" s="35">
        <f t="shared" ca="1" si="12"/>
        <v>-300</v>
      </c>
      <c r="AA82" s="5"/>
    </row>
    <row r="83" spans="1:27" x14ac:dyDescent="0.25">
      <c r="A83" s="5"/>
      <c r="B83" s="22">
        <f ca="1">I8</f>
        <v>0</v>
      </c>
      <c r="C83" s="3">
        <f t="shared" ca="1" si="3"/>
        <v>-300</v>
      </c>
      <c r="D83" s="5"/>
      <c r="E83" s="5"/>
      <c r="F83" s="22">
        <f t="shared" ca="1" si="4"/>
        <v>0</v>
      </c>
      <c r="G83" s="3">
        <f t="shared" ca="1" si="5"/>
        <v>0</v>
      </c>
      <c r="H83" s="5"/>
      <c r="I83" s="5"/>
      <c r="J83" s="22">
        <f t="shared" ca="1" si="6"/>
        <v>0</v>
      </c>
      <c r="K83" s="3">
        <f t="shared" ca="1" si="7"/>
        <v>0</v>
      </c>
      <c r="L83" s="5"/>
      <c r="M83" s="5"/>
      <c r="N83" s="22">
        <f t="shared" ca="1" si="8"/>
        <v>0</v>
      </c>
      <c r="O83" s="3">
        <f t="shared" ca="1" si="13"/>
        <v>0</v>
      </c>
      <c r="P83" s="5"/>
      <c r="Q83" s="5"/>
      <c r="R83" s="22">
        <f ca="1">Table13[[#This Row],[UNDRLYNG PX]]</f>
        <v>0</v>
      </c>
      <c r="S83" s="35">
        <f t="shared" ca="1" si="9"/>
        <v>0</v>
      </c>
      <c r="T83" s="5"/>
      <c r="U83" s="5"/>
      <c r="V83" s="22">
        <f t="shared" ca="1" si="10"/>
        <v>0</v>
      </c>
      <c r="W83" s="3">
        <f t="shared" ca="1" si="14"/>
        <v>0</v>
      </c>
      <c r="X83" s="5"/>
      <c r="Y83" s="22">
        <f t="shared" ca="1" si="11"/>
        <v>0</v>
      </c>
      <c r="Z83" s="35">
        <f t="shared" ca="1" si="12"/>
        <v>-300</v>
      </c>
      <c r="AA83" s="5"/>
    </row>
    <row r="84" spans="1:27" x14ac:dyDescent="0.25">
      <c r="A84" s="5"/>
      <c r="B84" s="21">
        <f t="shared" ref="B84:B105" ca="1" si="15">B83+$Y$16</f>
        <v>1</v>
      </c>
      <c r="C84" s="2">
        <f t="shared" ca="1" si="3"/>
        <v>-300</v>
      </c>
      <c r="D84" s="5"/>
      <c r="E84" s="5"/>
      <c r="F84" s="21">
        <f t="shared" ca="1" si="4"/>
        <v>1</v>
      </c>
      <c r="G84" s="2">
        <f t="shared" ca="1" si="5"/>
        <v>0</v>
      </c>
      <c r="H84" s="5"/>
      <c r="I84" s="5"/>
      <c r="J84" s="21">
        <f t="shared" ca="1" si="6"/>
        <v>1</v>
      </c>
      <c r="K84" s="2">
        <f t="shared" ca="1" si="7"/>
        <v>0</v>
      </c>
      <c r="L84" s="5"/>
      <c r="M84" s="5"/>
      <c r="N84" s="21">
        <f t="shared" ca="1" si="8"/>
        <v>1</v>
      </c>
      <c r="O84" s="2">
        <f t="shared" ca="1" si="13"/>
        <v>0</v>
      </c>
      <c r="P84" s="5"/>
      <c r="Q84" s="5"/>
      <c r="R84" s="21">
        <f ca="1">Table13[[#This Row],[UNDRLYNG PX]]</f>
        <v>1</v>
      </c>
      <c r="S84" s="35">
        <f t="shared" ca="1" si="9"/>
        <v>0</v>
      </c>
      <c r="T84" s="5"/>
      <c r="U84" s="5"/>
      <c r="V84" s="21">
        <f t="shared" ca="1" si="10"/>
        <v>1</v>
      </c>
      <c r="W84" s="2">
        <f t="shared" ca="1" si="14"/>
        <v>0</v>
      </c>
      <c r="X84" s="5"/>
      <c r="Y84" s="21">
        <f t="shared" ca="1" si="11"/>
        <v>1</v>
      </c>
      <c r="Z84" s="35">
        <f t="shared" ca="1" si="12"/>
        <v>-300</v>
      </c>
      <c r="AA84" s="5"/>
    </row>
    <row r="85" spans="1:27" x14ac:dyDescent="0.25">
      <c r="A85" s="5"/>
      <c r="B85" s="22">
        <f t="shared" ca="1" si="15"/>
        <v>2</v>
      </c>
      <c r="C85" s="2">
        <f t="shared" ca="1" si="3"/>
        <v>-300</v>
      </c>
      <c r="D85" s="5"/>
      <c r="E85" s="5"/>
      <c r="F85" s="22">
        <f t="shared" ca="1" si="4"/>
        <v>2</v>
      </c>
      <c r="G85" s="2">
        <f t="shared" ca="1" si="5"/>
        <v>0</v>
      </c>
      <c r="H85" s="5"/>
      <c r="I85" s="5"/>
      <c r="J85" s="22">
        <f t="shared" ca="1" si="6"/>
        <v>2</v>
      </c>
      <c r="K85" s="2">
        <f t="shared" ca="1" si="7"/>
        <v>0</v>
      </c>
      <c r="L85" s="5"/>
      <c r="M85" s="5"/>
      <c r="N85" s="22">
        <f t="shared" ca="1" si="8"/>
        <v>2</v>
      </c>
      <c r="O85" s="3">
        <f t="shared" ca="1" si="13"/>
        <v>0</v>
      </c>
      <c r="P85" s="5"/>
      <c r="Q85" s="5"/>
      <c r="R85" s="22">
        <f ca="1">Table13[[#This Row],[UNDRLYNG PX]]</f>
        <v>2</v>
      </c>
      <c r="S85" s="35">
        <f t="shared" ca="1" si="9"/>
        <v>0</v>
      </c>
      <c r="T85" s="5"/>
      <c r="U85" s="5"/>
      <c r="V85" s="22">
        <f t="shared" ca="1" si="10"/>
        <v>2</v>
      </c>
      <c r="W85" s="3">
        <f t="shared" ca="1" si="14"/>
        <v>0</v>
      </c>
      <c r="X85" s="5"/>
      <c r="Y85" s="22">
        <f t="shared" ca="1" si="11"/>
        <v>2</v>
      </c>
      <c r="Z85" s="35">
        <f t="shared" ca="1" si="12"/>
        <v>-300</v>
      </c>
      <c r="AA85" s="5"/>
    </row>
    <row r="86" spans="1:27" x14ac:dyDescent="0.25">
      <c r="A86" s="5"/>
      <c r="B86" s="21">
        <f t="shared" ca="1" si="15"/>
        <v>3</v>
      </c>
      <c r="C86" s="2">
        <f t="shared" ca="1" si="3"/>
        <v>-300</v>
      </c>
      <c r="D86" s="5"/>
      <c r="E86" s="5"/>
      <c r="F86" s="21">
        <f t="shared" ca="1" si="4"/>
        <v>3</v>
      </c>
      <c r="G86" s="2">
        <f t="shared" ca="1" si="5"/>
        <v>0</v>
      </c>
      <c r="H86" s="5"/>
      <c r="I86" s="5"/>
      <c r="J86" s="21">
        <f t="shared" ca="1" si="6"/>
        <v>3</v>
      </c>
      <c r="K86" s="2">
        <f t="shared" ca="1" si="7"/>
        <v>0</v>
      </c>
      <c r="L86" s="5"/>
      <c r="M86" s="5"/>
      <c r="N86" s="21">
        <f t="shared" ca="1" si="8"/>
        <v>3</v>
      </c>
      <c r="O86" s="2">
        <f t="shared" ca="1" si="13"/>
        <v>0</v>
      </c>
      <c r="P86" s="5"/>
      <c r="Q86" s="5"/>
      <c r="R86" s="21">
        <f ca="1">Table13[[#This Row],[UNDRLYNG PX]]</f>
        <v>3</v>
      </c>
      <c r="S86" s="35">
        <f t="shared" ca="1" si="9"/>
        <v>0</v>
      </c>
      <c r="T86" s="5"/>
      <c r="U86" s="5"/>
      <c r="V86" s="21">
        <f t="shared" ca="1" si="10"/>
        <v>3</v>
      </c>
      <c r="W86" s="2">
        <f t="shared" ca="1" si="14"/>
        <v>0</v>
      </c>
      <c r="X86" s="5"/>
      <c r="Y86" s="21">
        <f t="shared" ca="1" si="11"/>
        <v>3</v>
      </c>
      <c r="Z86" s="35">
        <f t="shared" ca="1" si="12"/>
        <v>-300</v>
      </c>
      <c r="AA86" s="5"/>
    </row>
    <row r="87" spans="1:27" x14ac:dyDescent="0.25">
      <c r="A87" s="5"/>
      <c r="B87" s="22">
        <f t="shared" ca="1" si="15"/>
        <v>4</v>
      </c>
      <c r="C87" s="2">
        <f t="shared" ca="1" si="3"/>
        <v>-300</v>
      </c>
      <c r="D87" s="5"/>
      <c r="E87" s="5"/>
      <c r="F87" s="22">
        <f t="shared" ca="1" si="4"/>
        <v>4</v>
      </c>
      <c r="G87" s="2">
        <f t="shared" ca="1" si="5"/>
        <v>0</v>
      </c>
      <c r="H87" s="5"/>
      <c r="I87" s="5"/>
      <c r="J87" s="22">
        <f t="shared" ca="1" si="6"/>
        <v>4</v>
      </c>
      <c r="K87" s="2">
        <f t="shared" ca="1" si="7"/>
        <v>0</v>
      </c>
      <c r="L87" s="5"/>
      <c r="M87" s="5"/>
      <c r="N87" s="22">
        <f t="shared" ca="1" si="8"/>
        <v>4</v>
      </c>
      <c r="O87" s="3">
        <f t="shared" ca="1" si="13"/>
        <v>0</v>
      </c>
      <c r="P87" s="5"/>
      <c r="Q87" s="5"/>
      <c r="R87" s="22">
        <f ca="1">Table13[[#This Row],[UNDRLYNG PX]]</f>
        <v>4</v>
      </c>
      <c r="S87" s="35">
        <f t="shared" ca="1" si="9"/>
        <v>0</v>
      </c>
      <c r="T87" s="5"/>
      <c r="U87" s="5"/>
      <c r="V87" s="22">
        <f t="shared" ca="1" si="10"/>
        <v>4</v>
      </c>
      <c r="W87" s="3">
        <f t="shared" ca="1" si="14"/>
        <v>0</v>
      </c>
      <c r="X87" s="5"/>
      <c r="Y87" s="22">
        <f t="shared" ca="1" si="11"/>
        <v>4</v>
      </c>
      <c r="Z87" s="35">
        <f t="shared" ca="1" si="12"/>
        <v>-300</v>
      </c>
      <c r="AA87" s="5"/>
    </row>
    <row r="88" spans="1:27" x14ac:dyDescent="0.25">
      <c r="A88" s="5"/>
      <c r="B88" s="21">
        <f t="shared" ca="1" si="15"/>
        <v>5</v>
      </c>
      <c r="C88" s="2">
        <f t="shared" ca="1" si="3"/>
        <v>-300</v>
      </c>
      <c r="D88" s="5"/>
      <c r="E88" s="5"/>
      <c r="F88" s="21">
        <f t="shared" ca="1" si="4"/>
        <v>5</v>
      </c>
      <c r="G88" s="2">
        <f t="shared" ca="1" si="5"/>
        <v>0</v>
      </c>
      <c r="H88" s="5"/>
      <c r="I88" s="5"/>
      <c r="J88" s="21">
        <f t="shared" ca="1" si="6"/>
        <v>5</v>
      </c>
      <c r="K88" s="2">
        <f t="shared" ca="1" si="7"/>
        <v>0</v>
      </c>
      <c r="L88" s="5"/>
      <c r="M88" s="5"/>
      <c r="N88" s="21">
        <f t="shared" ca="1" si="8"/>
        <v>5</v>
      </c>
      <c r="O88" s="2">
        <f t="shared" ca="1" si="13"/>
        <v>0</v>
      </c>
      <c r="P88" s="5"/>
      <c r="Q88" s="5"/>
      <c r="R88" s="21">
        <f ca="1">Table13[[#This Row],[UNDRLYNG PX]]</f>
        <v>5</v>
      </c>
      <c r="S88" s="35">
        <f t="shared" ca="1" si="9"/>
        <v>0</v>
      </c>
      <c r="T88" s="5"/>
      <c r="U88" s="5"/>
      <c r="V88" s="21">
        <f t="shared" ca="1" si="10"/>
        <v>5</v>
      </c>
      <c r="W88" s="2">
        <f t="shared" ca="1" si="14"/>
        <v>0</v>
      </c>
      <c r="X88" s="5"/>
      <c r="Y88" s="21">
        <f t="shared" ca="1" si="11"/>
        <v>5</v>
      </c>
      <c r="Z88" s="35">
        <f t="shared" ca="1" si="12"/>
        <v>-300</v>
      </c>
      <c r="AA88" s="5"/>
    </row>
    <row r="89" spans="1:27" x14ac:dyDescent="0.25">
      <c r="A89" s="5"/>
      <c r="B89" s="22">
        <f t="shared" ca="1" si="15"/>
        <v>6</v>
      </c>
      <c r="C89" s="2">
        <f t="shared" ca="1" si="3"/>
        <v>-200</v>
      </c>
      <c r="D89" s="5"/>
      <c r="E89" s="5"/>
      <c r="F89" s="22">
        <f t="shared" ca="1" si="4"/>
        <v>6</v>
      </c>
      <c r="G89" s="2">
        <f t="shared" ca="1" si="5"/>
        <v>0</v>
      </c>
      <c r="H89" s="5"/>
      <c r="I89" s="5"/>
      <c r="J89" s="22">
        <f t="shared" ca="1" si="6"/>
        <v>6</v>
      </c>
      <c r="K89" s="2">
        <f t="shared" ca="1" si="7"/>
        <v>0</v>
      </c>
      <c r="L89" s="5"/>
      <c r="M89" s="5"/>
      <c r="N89" s="22">
        <f t="shared" ca="1" si="8"/>
        <v>6</v>
      </c>
      <c r="O89" s="3">
        <f t="shared" ca="1" si="13"/>
        <v>0</v>
      </c>
      <c r="P89" s="5"/>
      <c r="Q89" s="5"/>
      <c r="R89" s="22">
        <f ca="1">Table13[[#This Row],[UNDRLYNG PX]]</f>
        <v>6</v>
      </c>
      <c r="S89" s="35">
        <f t="shared" ca="1" si="9"/>
        <v>0</v>
      </c>
      <c r="T89" s="5"/>
      <c r="U89" s="5"/>
      <c r="V89" s="22">
        <f t="shared" ca="1" si="10"/>
        <v>6</v>
      </c>
      <c r="W89" s="3">
        <f t="shared" ca="1" si="14"/>
        <v>0</v>
      </c>
      <c r="X89" s="5"/>
      <c r="Y89" s="22">
        <f t="shared" ca="1" si="11"/>
        <v>6</v>
      </c>
      <c r="Z89" s="35">
        <f t="shared" ca="1" si="12"/>
        <v>-200</v>
      </c>
      <c r="AA89" s="5"/>
    </row>
    <row r="90" spans="1:27" x14ac:dyDescent="0.25">
      <c r="A90" s="5"/>
      <c r="B90" s="21">
        <f t="shared" ca="1" si="15"/>
        <v>7</v>
      </c>
      <c r="C90" s="2">
        <f t="shared" ca="1" si="3"/>
        <v>-100</v>
      </c>
      <c r="D90" s="5"/>
      <c r="E90" s="5"/>
      <c r="F90" s="21">
        <f t="shared" ca="1" si="4"/>
        <v>7</v>
      </c>
      <c r="G90" s="2">
        <f t="shared" ca="1" si="5"/>
        <v>0</v>
      </c>
      <c r="H90" s="5"/>
      <c r="I90" s="5"/>
      <c r="J90" s="21">
        <f t="shared" ca="1" si="6"/>
        <v>7</v>
      </c>
      <c r="K90" s="2">
        <f t="shared" ca="1" si="7"/>
        <v>0</v>
      </c>
      <c r="L90" s="5"/>
      <c r="M90" s="5"/>
      <c r="N90" s="21">
        <f t="shared" ca="1" si="8"/>
        <v>7</v>
      </c>
      <c r="O90" s="2">
        <f t="shared" ca="1" si="13"/>
        <v>0</v>
      </c>
      <c r="P90" s="5"/>
      <c r="Q90" s="5"/>
      <c r="R90" s="21">
        <f ca="1">Table13[[#This Row],[UNDRLYNG PX]]</f>
        <v>7</v>
      </c>
      <c r="S90" s="35">
        <f t="shared" ca="1" si="9"/>
        <v>0</v>
      </c>
      <c r="T90" s="5"/>
      <c r="U90" s="5"/>
      <c r="V90" s="21">
        <f t="shared" ca="1" si="10"/>
        <v>7</v>
      </c>
      <c r="W90" s="2">
        <f t="shared" ca="1" si="14"/>
        <v>0</v>
      </c>
      <c r="X90" s="5"/>
      <c r="Y90" s="21">
        <f t="shared" ca="1" si="11"/>
        <v>7</v>
      </c>
      <c r="Z90" s="35">
        <f t="shared" ca="1" si="12"/>
        <v>-100</v>
      </c>
      <c r="AA90" s="5"/>
    </row>
    <row r="91" spans="1:27" x14ac:dyDescent="0.25">
      <c r="A91" s="5"/>
      <c r="B91" s="22">
        <f t="shared" ca="1" si="15"/>
        <v>8</v>
      </c>
      <c r="C91" s="2">
        <f t="shared" ca="1" si="3"/>
        <v>0</v>
      </c>
      <c r="D91" s="5"/>
      <c r="E91" s="5"/>
      <c r="F91" s="22">
        <f t="shared" ca="1" si="4"/>
        <v>8</v>
      </c>
      <c r="G91" s="2">
        <f t="shared" ca="1" si="5"/>
        <v>0</v>
      </c>
      <c r="H91" s="5"/>
      <c r="I91" s="5"/>
      <c r="J91" s="22">
        <f t="shared" ca="1" si="6"/>
        <v>8</v>
      </c>
      <c r="K91" s="2">
        <f t="shared" ca="1" si="7"/>
        <v>0</v>
      </c>
      <c r="L91" s="5"/>
      <c r="M91" s="5"/>
      <c r="N91" s="22">
        <f t="shared" ca="1" si="8"/>
        <v>8</v>
      </c>
      <c r="O91" s="3">
        <f t="shared" ca="1" si="13"/>
        <v>0</v>
      </c>
      <c r="P91" s="5"/>
      <c r="Q91" s="5"/>
      <c r="R91" s="22">
        <f ca="1">Table13[[#This Row],[UNDRLYNG PX]]</f>
        <v>8</v>
      </c>
      <c r="S91" s="35">
        <f t="shared" ca="1" si="9"/>
        <v>0</v>
      </c>
      <c r="T91" s="5"/>
      <c r="U91" s="5"/>
      <c r="V91" s="22">
        <f t="shared" ca="1" si="10"/>
        <v>8</v>
      </c>
      <c r="W91" s="3">
        <f t="shared" ca="1" si="14"/>
        <v>0</v>
      </c>
      <c r="X91" s="5"/>
      <c r="Y91" s="22">
        <f t="shared" ca="1" si="11"/>
        <v>8</v>
      </c>
      <c r="Z91" s="35">
        <f t="shared" ca="1" si="12"/>
        <v>0</v>
      </c>
      <c r="AA91" s="5"/>
    </row>
    <row r="92" spans="1:27" x14ac:dyDescent="0.25">
      <c r="A92" s="5"/>
      <c r="B92" s="21">
        <f t="shared" ca="1" si="15"/>
        <v>9</v>
      </c>
      <c r="C92" s="2">
        <f t="shared" ca="1" si="3"/>
        <v>100</v>
      </c>
      <c r="D92" s="5"/>
      <c r="E92" s="5"/>
      <c r="F92" s="21">
        <f t="shared" ca="1" si="4"/>
        <v>9</v>
      </c>
      <c r="G92" s="2">
        <f t="shared" ca="1" si="5"/>
        <v>0</v>
      </c>
      <c r="H92" s="5"/>
      <c r="I92" s="5"/>
      <c r="J92" s="21">
        <f t="shared" ca="1" si="6"/>
        <v>9</v>
      </c>
      <c r="K92" s="2">
        <f t="shared" ca="1" si="7"/>
        <v>0</v>
      </c>
      <c r="L92" s="5"/>
      <c r="M92" s="5"/>
      <c r="N92" s="21">
        <f t="shared" ca="1" si="8"/>
        <v>9</v>
      </c>
      <c r="O92" s="2">
        <f t="shared" ca="1" si="13"/>
        <v>0</v>
      </c>
      <c r="P92" s="5"/>
      <c r="Q92" s="5"/>
      <c r="R92" s="21">
        <f ca="1">Table13[[#This Row],[UNDRLYNG PX]]</f>
        <v>9</v>
      </c>
      <c r="S92" s="35">
        <f t="shared" ca="1" si="9"/>
        <v>0</v>
      </c>
      <c r="T92" s="5"/>
      <c r="U92" s="5"/>
      <c r="V92" s="21">
        <f t="shared" ca="1" si="10"/>
        <v>9</v>
      </c>
      <c r="W92" s="2">
        <f t="shared" ca="1" si="14"/>
        <v>0</v>
      </c>
      <c r="X92" s="5"/>
      <c r="Y92" s="21">
        <f t="shared" ca="1" si="11"/>
        <v>9</v>
      </c>
      <c r="Z92" s="35">
        <f t="shared" ca="1" si="12"/>
        <v>100</v>
      </c>
      <c r="AA92" s="5"/>
    </row>
    <row r="93" spans="1:27" x14ac:dyDescent="0.25">
      <c r="A93" s="5"/>
      <c r="B93" s="22">
        <f t="shared" ca="1" si="15"/>
        <v>10</v>
      </c>
      <c r="C93" s="2">
        <f t="shared" ca="1" si="3"/>
        <v>200</v>
      </c>
      <c r="D93" s="5"/>
      <c r="E93" s="5"/>
      <c r="F93" s="22">
        <f t="shared" ca="1" si="4"/>
        <v>10</v>
      </c>
      <c r="G93" s="2">
        <f t="shared" ca="1" si="5"/>
        <v>0</v>
      </c>
      <c r="H93" s="5"/>
      <c r="I93" s="5"/>
      <c r="J93" s="22">
        <f t="shared" ca="1" si="6"/>
        <v>10</v>
      </c>
      <c r="K93" s="2">
        <f t="shared" ca="1" si="7"/>
        <v>0</v>
      </c>
      <c r="L93" s="5"/>
      <c r="M93" s="5"/>
      <c r="N93" s="22">
        <f t="shared" ca="1" si="8"/>
        <v>10</v>
      </c>
      <c r="O93" s="3">
        <f t="shared" ca="1" si="13"/>
        <v>0</v>
      </c>
      <c r="P93" s="5"/>
      <c r="Q93" s="5"/>
      <c r="R93" s="22">
        <f ca="1">Table13[[#This Row],[UNDRLYNG PX]]</f>
        <v>10</v>
      </c>
      <c r="S93" s="35">
        <f t="shared" ca="1" si="9"/>
        <v>0</v>
      </c>
      <c r="T93" s="5"/>
      <c r="U93" s="5"/>
      <c r="V93" s="22">
        <f t="shared" ca="1" si="10"/>
        <v>10</v>
      </c>
      <c r="W93" s="3">
        <f t="shared" ca="1" si="14"/>
        <v>0</v>
      </c>
      <c r="X93" s="5"/>
      <c r="Y93" s="22">
        <f t="shared" ca="1" si="11"/>
        <v>10</v>
      </c>
      <c r="Z93" s="35">
        <f t="shared" ca="1" si="12"/>
        <v>200</v>
      </c>
      <c r="AA93" s="5"/>
    </row>
    <row r="94" spans="1:27" x14ac:dyDescent="0.25">
      <c r="A94" s="5"/>
      <c r="B94" s="21">
        <f t="shared" ca="1" si="15"/>
        <v>11</v>
      </c>
      <c r="C94" s="2">
        <f t="shared" ca="1" si="3"/>
        <v>300</v>
      </c>
      <c r="D94" s="5"/>
      <c r="E94" s="5"/>
      <c r="F94" s="21">
        <f t="shared" ca="1" si="4"/>
        <v>11</v>
      </c>
      <c r="G94" s="2">
        <f t="shared" ca="1" si="5"/>
        <v>0</v>
      </c>
      <c r="H94" s="5"/>
      <c r="I94" s="5"/>
      <c r="J94" s="21">
        <f t="shared" ca="1" si="6"/>
        <v>11</v>
      </c>
      <c r="K94" s="2">
        <f t="shared" ca="1" si="7"/>
        <v>0</v>
      </c>
      <c r="L94" s="5"/>
      <c r="M94" s="5"/>
      <c r="N94" s="21">
        <f t="shared" ca="1" si="8"/>
        <v>11</v>
      </c>
      <c r="O94" s="2">
        <f t="shared" ca="1" si="13"/>
        <v>0</v>
      </c>
      <c r="P94" s="5"/>
      <c r="Q94" s="5"/>
      <c r="R94" s="21">
        <f ca="1">Table13[[#This Row],[UNDRLYNG PX]]</f>
        <v>11</v>
      </c>
      <c r="S94" s="35">
        <f t="shared" ca="1" si="9"/>
        <v>0</v>
      </c>
      <c r="T94" s="5"/>
      <c r="U94" s="5"/>
      <c r="V94" s="21">
        <f t="shared" ca="1" si="10"/>
        <v>11</v>
      </c>
      <c r="W94" s="2">
        <f t="shared" ca="1" si="14"/>
        <v>0</v>
      </c>
      <c r="X94" s="5"/>
      <c r="Y94" s="21">
        <f t="shared" ca="1" si="11"/>
        <v>11</v>
      </c>
      <c r="Z94" s="35">
        <f t="shared" ca="1" si="12"/>
        <v>300</v>
      </c>
      <c r="AA94" s="5"/>
    </row>
    <row r="95" spans="1:27" x14ac:dyDescent="0.25">
      <c r="A95" s="5"/>
      <c r="B95" s="22">
        <f t="shared" ca="1" si="15"/>
        <v>12</v>
      </c>
      <c r="C95" s="2">
        <f t="shared" ca="1" si="3"/>
        <v>400</v>
      </c>
      <c r="D95" s="5"/>
      <c r="E95" s="5"/>
      <c r="F95" s="22">
        <f t="shared" ca="1" si="4"/>
        <v>12</v>
      </c>
      <c r="G95" s="2">
        <f t="shared" ca="1" si="5"/>
        <v>0</v>
      </c>
      <c r="H95" s="5"/>
      <c r="I95" s="5"/>
      <c r="J95" s="22">
        <f t="shared" ca="1" si="6"/>
        <v>12</v>
      </c>
      <c r="K95" s="2">
        <f t="shared" ca="1" si="7"/>
        <v>0</v>
      </c>
      <c r="L95" s="5"/>
      <c r="M95" s="5"/>
      <c r="N95" s="22">
        <f t="shared" ca="1" si="8"/>
        <v>12</v>
      </c>
      <c r="O95" s="3">
        <f t="shared" ca="1" si="13"/>
        <v>0</v>
      </c>
      <c r="P95" s="5"/>
      <c r="Q95" s="5"/>
      <c r="R95" s="22">
        <f ca="1">Table13[[#This Row],[UNDRLYNG PX]]</f>
        <v>12</v>
      </c>
      <c r="S95" s="35">
        <f t="shared" ca="1" si="9"/>
        <v>0</v>
      </c>
      <c r="T95" s="5"/>
      <c r="U95" s="5"/>
      <c r="V95" s="22">
        <f t="shared" ca="1" si="10"/>
        <v>12</v>
      </c>
      <c r="W95" s="3">
        <f t="shared" ca="1" si="14"/>
        <v>0</v>
      </c>
      <c r="X95" s="5"/>
      <c r="Y95" s="22">
        <f t="shared" ca="1" si="11"/>
        <v>12</v>
      </c>
      <c r="Z95" s="35">
        <f t="shared" ca="1" si="12"/>
        <v>400</v>
      </c>
      <c r="AA95" s="5"/>
    </row>
    <row r="96" spans="1:27" x14ac:dyDescent="0.25">
      <c r="A96" s="5"/>
      <c r="B96" s="21">
        <f t="shared" ca="1" si="15"/>
        <v>13</v>
      </c>
      <c r="C96" s="2">
        <f t="shared" ca="1" si="3"/>
        <v>500</v>
      </c>
      <c r="D96" s="5"/>
      <c r="E96" s="5"/>
      <c r="F96" s="21">
        <f t="shared" ca="1" si="4"/>
        <v>13</v>
      </c>
      <c r="G96" s="2">
        <f t="shared" ca="1" si="5"/>
        <v>0</v>
      </c>
      <c r="H96" s="5"/>
      <c r="I96" s="5"/>
      <c r="J96" s="21">
        <f t="shared" ca="1" si="6"/>
        <v>13</v>
      </c>
      <c r="K96" s="2">
        <f t="shared" ca="1" si="7"/>
        <v>0</v>
      </c>
      <c r="L96" s="5"/>
      <c r="M96" s="5"/>
      <c r="N96" s="21">
        <f t="shared" ca="1" si="8"/>
        <v>13</v>
      </c>
      <c r="O96" s="2">
        <f t="shared" ca="1" si="13"/>
        <v>0</v>
      </c>
      <c r="P96" s="5"/>
      <c r="Q96" s="5"/>
      <c r="R96" s="21">
        <f ca="1">Table13[[#This Row],[UNDRLYNG PX]]</f>
        <v>13</v>
      </c>
      <c r="S96" s="35">
        <f t="shared" ca="1" si="9"/>
        <v>0</v>
      </c>
      <c r="T96" s="5"/>
      <c r="U96" s="5"/>
      <c r="V96" s="21">
        <f t="shared" ca="1" si="10"/>
        <v>13</v>
      </c>
      <c r="W96" s="2">
        <f t="shared" ca="1" si="14"/>
        <v>0</v>
      </c>
      <c r="X96" s="5"/>
      <c r="Y96" s="21">
        <f t="shared" ca="1" si="11"/>
        <v>13</v>
      </c>
      <c r="Z96" s="35">
        <f t="shared" ca="1" si="12"/>
        <v>500</v>
      </c>
      <c r="AA96" s="5"/>
    </row>
    <row r="97" spans="1:27" x14ac:dyDescent="0.25">
      <c r="A97" s="5"/>
      <c r="B97" s="22">
        <f t="shared" ca="1" si="15"/>
        <v>14</v>
      </c>
      <c r="C97" s="2">
        <f t="shared" ca="1" si="3"/>
        <v>600</v>
      </c>
      <c r="D97" s="5"/>
      <c r="E97" s="5"/>
      <c r="F97" s="22">
        <f t="shared" ca="1" si="4"/>
        <v>14</v>
      </c>
      <c r="G97" s="2">
        <f t="shared" ca="1" si="5"/>
        <v>0</v>
      </c>
      <c r="H97" s="5"/>
      <c r="I97" s="5"/>
      <c r="J97" s="22">
        <f t="shared" ca="1" si="6"/>
        <v>14</v>
      </c>
      <c r="K97" s="2">
        <f t="shared" ca="1" si="7"/>
        <v>0</v>
      </c>
      <c r="L97" s="5"/>
      <c r="M97" s="5"/>
      <c r="N97" s="22">
        <f t="shared" ca="1" si="8"/>
        <v>14</v>
      </c>
      <c r="O97" s="3">
        <f t="shared" ca="1" si="13"/>
        <v>0</v>
      </c>
      <c r="P97" s="5"/>
      <c r="Q97" s="5"/>
      <c r="R97" s="22">
        <f ca="1">Table13[[#This Row],[UNDRLYNG PX]]</f>
        <v>14</v>
      </c>
      <c r="S97" s="35">
        <f t="shared" ca="1" si="9"/>
        <v>0</v>
      </c>
      <c r="T97" s="5"/>
      <c r="U97" s="5"/>
      <c r="V97" s="22">
        <f t="shared" ca="1" si="10"/>
        <v>14</v>
      </c>
      <c r="W97" s="3">
        <f t="shared" ca="1" si="14"/>
        <v>0</v>
      </c>
      <c r="X97" s="5"/>
      <c r="Y97" s="22">
        <f t="shared" ca="1" si="11"/>
        <v>14</v>
      </c>
      <c r="Z97" s="35">
        <f t="shared" ca="1" si="12"/>
        <v>600</v>
      </c>
      <c r="AA97" s="5"/>
    </row>
    <row r="98" spans="1:27" x14ac:dyDescent="0.25">
      <c r="A98" s="5"/>
      <c r="B98" s="21">
        <f t="shared" ca="1" si="15"/>
        <v>15</v>
      </c>
      <c r="C98" s="2">
        <f t="shared" ca="1" si="3"/>
        <v>700</v>
      </c>
      <c r="D98" s="5"/>
      <c r="E98" s="5"/>
      <c r="F98" s="21">
        <f t="shared" ca="1" si="4"/>
        <v>15</v>
      </c>
      <c r="G98" s="2">
        <f t="shared" ca="1" si="5"/>
        <v>0</v>
      </c>
      <c r="H98" s="5"/>
      <c r="I98" s="5"/>
      <c r="J98" s="21">
        <f t="shared" ca="1" si="6"/>
        <v>15</v>
      </c>
      <c r="K98" s="2">
        <f t="shared" ca="1" si="7"/>
        <v>0</v>
      </c>
      <c r="L98" s="5"/>
      <c r="M98" s="5"/>
      <c r="N98" s="21">
        <f t="shared" ca="1" si="8"/>
        <v>15</v>
      </c>
      <c r="O98" s="2">
        <f t="shared" ca="1" si="13"/>
        <v>0</v>
      </c>
      <c r="P98" s="5"/>
      <c r="Q98" s="5"/>
      <c r="R98" s="21">
        <f ca="1">Table13[[#This Row],[UNDRLYNG PX]]</f>
        <v>15</v>
      </c>
      <c r="S98" s="35">
        <f t="shared" ca="1" si="9"/>
        <v>0</v>
      </c>
      <c r="T98" s="5"/>
      <c r="U98" s="5"/>
      <c r="V98" s="21">
        <f t="shared" ca="1" si="10"/>
        <v>15</v>
      </c>
      <c r="W98" s="3">
        <f t="shared" ca="1" si="14"/>
        <v>0</v>
      </c>
      <c r="X98" s="5"/>
      <c r="Y98" s="21">
        <f t="shared" ca="1" si="11"/>
        <v>15</v>
      </c>
      <c r="Z98" s="35">
        <f t="shared" ca="1" si="12"/>
        <v>700</v>
      </c>
      <c r="AA98" s="5"/>
    </row>
    <row r="99" spans="1:27" x14ac:dyDescent="0.25">
      <c r="A99" s="5"/>
      <c r="B99" s="22">
        <f t="shared" ca="1" si="15"/>
        <v>16</v>
      </c>
      <c r="C99" s="2">
        <f t="shared" ca="1" si="3"/>
        <v>800</v>
      </c>
      <c r="D99" s="5"/>
      <c r="E99" s="5"/>
      <c r="F99" s="22">
        <f t="shared" ca="1" si="4"/>
        <v>16</v>
      </c>
      <c r="G99" s="2">
        <f t="shared" ca="1" si="5"/>
        <v>0</v>
      </c>
      <c r="H99" s="5"/>
      <c r="I99" s="5"/>
      <c r="J99" s="22">
        <f t="shared" ca="1" si="6"/>
        <v>16</v>
      </c>
      <c r="K99" s="2">
        <f t="shared" ca="1" si="7"/>
        <v>0</v>
      </c>
      <c r="L99" s="5"/>
      <c r="M99" s="5"/>
      <c r="N99" s="22">
        <f t="shared" ca="1" si="8"/>
        <v>16</v>
      </c>
      <c r="O99" s="3">
        <f t="shared" ca="1" si="13"/>
        <v>0</v>
      </c>
      <c r="P99" s="5"/>
      <c r="Q99" s="5"/>
      <c r="R99" s="22">
        <f ca="1">Table13[[#This Row],[UNDRLYNG PX]]</f>
        <v>16</v>
      </c>
      <c r="S99" s="35">
        <f t="shared" ca="1" si="9"/>
        <v>0</v>
      </c>
      <c r="T99" s="5"/>
      <c r="U99" s="5"/>
      <c r="V99" s="22">
        <f t="shared" ca="1" si="10"/>
        <v>16</v>
      </c>
      <c r="W99" s="3">
        <f t="shared" ca="1" si="14"/>
        <v>0</v>
      </c>
      <c r="X99" s="5"/>
      <c r="Y99" s="22">
        <f t="shared" ca="1" si="11"/>
        <v>16</v>
      </c>
      <c r="Z99" s="35">
        <f t="shared" ca="1" si="12"/>
        <v>800</v>
      </c>
      <c r="AA99" s="5"/>
    </row>
    <row r="100" spans="1:27" x14ac:dyDescent="0.25">
      <c r="A100" s="5"/>
      <c r="B100" s="21">
        <f t="shared" ca="1" si="15"/>
        <v>17</v>
      </c>
      <c r="C100" s="2">
        <f t="shared" ca="1" si="3"/>
        <v>900</v>
      </c>
      <c r="D100" s="5"/>
      <c r="E100" s="5"/>
      <c r="F100" s="21">
        <f t="shared" ca="1" si="4"/>
        <v>17</v>
      </c>
      <c r="G100" s="2">
        <f t="shared" ca="1" si="5"/>
        <v>0</v>
      </c>
      <c r="H100" s="5"/>
      <c r="I100" s="5"/>
      <c r="J100" s="21">
        <f t="shared" ca="1" si="6"/>
        <v>17</v>
      </c>
      <c r="K100" s="2">
        <f t="shared" ca="1" si="7"/>
        <v>0</v>
      </c>
      <c r="L100" s="5"/>
      <c r="M100" s="5"/>
      <c r="N100" s="21">
        <f t="shared" ca="1" si="8"/>
        <v>17</v>
      </c>
      <c r="O100" s="2">
        <f t="shared" ca="1" si="13"/>
        <v>0</v>
      </c>
      <c r="P100" s="5"/>
      <c r="Q100" s="5"/>
      <c r="R100" s="21">
        <f ca="1">Table13[[#This Row],[UNDRLYNG PX]]</f>
        <v>17</v>
      </c>
      <c r="S100" s="35">
        <f t="shared" ca="1" si="9"/>
        <v>0</v>
      </c>
      <c r="T100" s="5"/>
      <c r="U100" s="5"/>
      <c r="V100" s="21">
        <f t="shared" ca="1" si="10"/>
        <v>17</v>
      </c>
      <c r="W100" s="3">
        <f t="shared" ca="1" si="14"/>
        <v>0</v>
      </c>
      <c r="X100" s="5"/>
      <c r="Y100" s="21">
        <f t="shared" ca="1" si="11"/>
        <v>17</v>
      </c>
      <c r="Z100" s="35">
        <f t="shared" ca="1" si="12"/>
        <v>900</v>
      </c>
      <c r="AA100" s="5"/>
    </row>
    <row r="101" spans="1:27" x14ac:dyDescent="0.25">
      <c r="A101" s="5"/>
      <c r="B101" s="22">
        <f t="shared" ca="1" si="15"/>
        <v>18</v>
      </c>
      <c r="C101" s="2">
        <f t="shared" ca="1" si="3"/>
        <v>1000</v>
      </c>
      <c r="D101" s="5"/>
      <c r="E101" s="5"/>
      <c r="F101" s="22">
        <f t="shared" ca="1" si="4"/>
        <v>18</v>
      </c>
      <c r="G101" s="2">
        <f t="shared" ca="1" si="5"/>
        <v>0</v>
      </c>
      <c r="H101" s="5"/>
      <c r="I101" s="5"/>
      <c r="J101" s="22">
        <f t="shared" ca="1" si="6"/>
        <v>18</v>
      </c>
      <c r="K101" s="2">
        <f t="shared" ca="1" si="7"/>
        <v>0</v>
      </c>
      <c r="L101" s="5"/>
      <c r="M101" s="5"/>
      <c r="N101" s="22">
        <f t="shared" ca="1" si="8"/>
        <v>18</v>
      </c>
      <c r="O101" s="3">
        <f t="shared" ca="1" si="13"/>
        <v>0</v>
      </c>
      <c r="P101" s="5"/>
      <c r="Q101" s="5"/>
      <c r="R101" s="22">
        <f ca="1">Table13[[#This Row],[UNDRLYNG PX]]</f>
        <v>18</v>
      </c>
      <c r="S101" s="35">
        <f t="shared" ca="1" si="9"/>
        <v>0</v>
      </c>
      <c r="T101" s="5"/>
      <c r="U101" s="5"/>
      <c r="V101" s="22">
        <f t="shared" ca="1" si="10"/>
        <v>18</v>
      </c>
      <c r="W101" s="3">
        <f t="shared" ca="1" si="14"/>
        <v>0</v>
      </c>
      <c r="X101" s="5"/>
      <c r="Y101" s="22">
        <f t="shared" ca="1" si="11"/>
        <v>18</v>
      </c>
      <c r="Z101" s="35">
        <f t="shared" ca="1" si="12"/>
        <v>1000</v>
      </c>
      <c r="AA101" s="5"/>
    </row>
    <row r="102" spans="1:27" x14ac:dyDescent="0.25">
      <c r="A102" s="5"/>
      <c r="B102" s="21">
        <f t="shared" ca="1" si="15"/>
        <v>19</v>
      </c>
      <c r="C102" s="2">
        <f t="shared" ca="1" si="3"/>
        <v>1100</v>
      </c>
      <c r="D102" s="5"/>
      <c r="E102" s="5"/>
      <c r="F102" s="21">
        <f t="shared" ca="1" si="4"/>
        <v>19</v>
      </c>
      <c r="G102" s="2">
        <f t="shared" ca="1" si="5"/>
        <v>0</v>
      </c>
      <c r="H102" s="5"/>
      <c r="I102" s="5"/>
      <c r="J102" s="21">
        <f t="shared" ca="1" si="6"/>
        <v>19</v>
      </c>
      <c r="K102" s="2">
        <f t="shared" ca="1" si="7"/>
        <v>0</v>
      </c>
      <c r="L102" s="5"/>
      <c r="M102" s="5"/>
      <c r="N102" s="21">
        <f t="shared" ca="1" si="8"/>
        <v>19</v>
      </c>
      <c r="O102" s="2">
        <f t="shared" ca="1" si="13"/>
        <v>0</v>
      </c>
      <c r="P102" s="5"/>
      <c r="Q102" s="5"/>
      <c r="R102" s="21">
        <f ca="1">Table13[[#This Row],[UNDRLYNG PX]]</f>
        <v>19</v>
      </c>
      <c r="S102" s="35">
        <f t="shared" ca="1" si="9"/>
        <v>0</v>
      </c>
      <c r="T102" s="5"/>
      <c r="U102" s="5"/>
      <c r="V102" s="21">
        <f t="shared" ca="1" si="10"/>
        <v>19</v>
      </c>
      <c r="W102" s="3">
        <f t="shared" ca="1" si="14"/>
        <v>0</v>
      </c>
      <c r="X102" s="5"/>
      <c r="Y102" s="21">
        <f t="shared" ca="1" si="11"/>
        <v>19</v>
      </c>
      <c r="Z102" s="35">
        <f t="shared" ca="1" si="12"/>
        <v>1100</v>
      </c>
      <c r="AA102" s="5"/>
    </row>
    <row r="103" spans="1:27" x14ac:dyDescent="0.25">
      <c r="A103" s="5"/>
      <c r="B103" s="22">
        <f t="shared" ca="1" si="15"/>
        <v>20</v>
      </c>
      <c r="C103" s="2">
        <f t="shared" ca="1" si="3"/>
        <v>1200</v>
      </c>
      <c r="D103" s="5"/>
      <c r="E103" s="5"/>
      <c r="F103" s="22">
        <f t="shared" ca="1" si="4"/>
        <v>20</v>
      </c>
      <c r="G103" s="2">
        <f t="shared" ca="1" si="5"/>
        <v>0</v>
      </c>
      <c r="H103" s="5"/>
      <c r="I103" s="5"/>
      <c r="J103" s="22">
        <f t="shared" ca="1" si="6"/>
        <v>20</v>
      </c>
      <c r="K103" s="2">
        <f t="shared" ca="1" si="7"/>
        <v>0</v>
      </c>
      <c r="L103" s="5"/>
      <c r="M103" s="5"/>
      <c r="N103" s="22">
        <f t="shared" ca="1" si="8"/>
        <v>20</v>
      </c>
      <c r="O103" s="3">
        <f t="shared" ca="1" si="13"/>
        <v>0</v>
      </c>
      <c r="P103" s="5"/>
      <c r="Q103" s="5"/>
      <c r="R103" s="22">
        <f ca="1">Table13[[#This Row],[UNDRLYNG PX]]</f>
        <v>20</v>
      </c>
      <c r="S103" s="35">
        <f t="shared" ca="1" si="9"/>
        <v>0</v>
      </c>
      <c r="T103" s="5"/>
      <c r="U103" s="5"/>
      <c r="V103" s="22">
        <f t="shared" ca="1" si="10"/>
        <v>20</v>
      </c>
      <c r="W103" s="3">
        <f t="shared" ca="1" si="14"/>
        <v>0</v>
      </c>
      <c r="X103" s="5"/>
      <c r="Y103" s="22">
        <f t="shared" ca="1" si="11"/>
        <v>20</v>
      </c>
      <c r="Z103" s="35">
        <f t="shared" ca="1" si="12"/>
        <v>1200</v>
      </c>
      <c r="AA103" s="5"/>
    </row>
    <row r="104" spans="1:27" x14ac:dyDescent="0.25">
      <c r="A104" s="5"/>
      <c r="B104" s="21">
        <f t="shared" ca="1" si="15"/>
        <v>21</v>
      </c>
      <c r="C104" s="2">
        <f t="shared" ca="1" si="3"/>
        <v>1300</v>
      </c>
      <c r="D104" s="5"/>
      <c r="E104" s="5"/>
      <c r="F104" s="21">
        <f t="shared" ca="1" si="4"/>
        <v>21</v>
      </c>
      <c r="G104" s="2">
        <f t="shared" ca="1" si="5"/>
        <v>0</v>
      </c>
      <c r="H104" s="5"/>
      <c r="I104" s="5"/>
      <c r="J104" s="21">
        <f t="shared" ca="1" si="6"/>
        <v>21</v>
      </c>
      <c r="K104" s="2">
        <f t="shared" ca="1" si="7"/>
        <v>0</v>
      </c>
      <c r="L104" s="5"/>
      <c r="M104" s="5"/>
      <c r="N104" s="21">
        <f t="shared" ca="1" si="8"/>
        <v>21</v>
      </c>
      <c r="O104" s="2">
        <f t="shared" ca="1" si="13"/>
        <v>0</v>
      </c>
      <c r="P104" s="5"/>
      <c r="Q104" s="5"/>
      <c r="R104" s="21">
        <f ca="1">Table13[[#This Row],[UNDRLYNG PX]]</f>
        <v>21</v>
      </c>
      <c r="S104" s="35">
        <f t="shared" ca="1" si="9"/>
        <v>0</v>
      </c>
      <c r="T104" s="5"/>
      <c r="U104" s="5"/>
      <c r="V104" s="21">
        <f t="shared" ca="1" si="10"/>
        <v>21</v>
      </c>
      <c r="W104" s="3">
        <f t="shared" ca="1" si="14"/>
        <v>0</v>
      </c>
      <c r="X104" s="5"/>
      <c r="Y104" s="21">
        <f t="shared" ca="1" si="11"/>
        <v>21</v>
      </c>
      <c r="Z104" s="35">
        <f t="shared" ca="1" si="12"/>
        <v>1300</v>
      </c>
      <c r="AA104" s="5"/>
    </row>
    <row r="105" spans="1:27" ht="15.75" thickBot="1" x14ac:dyDescent="0.3">
      <c r="A105" s="5"/>
      <c r="B105" s="22">
        <f t="shared" ca="1" si="15"/>
        <v>22</v>
      </c>
      <c r="C105" s="2">
        <f t="shared" ca="1" si="3"/>
        <v>1400</v>
      </c>
      <c r="D105" s="5"/>
      <c r="E105" s="5"/>
      <c r="F105" s="22">
        <f t="shared" ca="1" si="4"/>
        <v>22</v>
      </c>
      <c r="G105" s="2">
        <f t="shared" ca="1" si="5"/>
        <v>0</v>
      </c>
      <c r="H105" s="5"/>
      <c r="I105" s="5"/>
      <c r="J105" s="22">
        <f t="shared" ca="1" si="6"/>
        <v>22</v>
      </c>
      <c r="K105" s="2">
        <f t="shared" ca="1" si="7"/>
        <v>0</v>
      </c>
      <c r="L105" s="5"/>
      <c r="M105" s="5"/>
      <c r="N105" s="22">
        <f t="shared" ca="1" si="8"/>
        <v>22</v>
      </c>
      <c r="O105" s="4">
        <f t="shared" ca="1" si="13"/>
        <v>0</v>
      </c>
      <c r="P105" s="5"/>
      <c r="Q105" s="5"/>
      <c r="R105" s="22">
        <f ca="1">Table13[[#This Row],[UNDRLYNG PX]]</f>
        <v>22</v>
      </c>
      <c r="S105" s="36">
        <f t="shared" ca="1" si="9"/>
        <v>0</v>
      </c>
      <c r="T105" s="5"/>
      <c r="U105" s="5"/>
      <c r="V105" s="22">
        <f t="shared" ca="1" si="10"/>
        <v>22</v>
      </c>
      <c r="W105" s="3">
        <f t="shared" ca="1" si="14"/>
        <v>0</v>
      </c>
      <c r="X105" s="5"/>
      <c r="Y105" s="22">
        <f t="shared" ca="1" si="11"/>
        <v>22</v>
      </c>
      <c r="Z105" s="36">
        <f t="shared" ca="1" si="12"/>
        <v>1400</v>
      </c>
      <c r="AA105" s="5"/>
    </row>
    <row r="106" spans="1:27" ht="15.75" thickBot="1" x14ac:dyDescent="0.3">
      <c r="A106" s="5"/>
      <c r="B106" s="18">
        <f>$Y$18</f>
        <v>0</v>
      </c>
      <c r="C106" s="19">
        <f t="shared" si="3"/>
        <v>-300</v>
      </c>
      <c r="D106" s="5"/>
      <c r="E106" s="5"/>
      <c r="F106" s="18">
        <f>$Y$18</f>
        <v>0</v>
      </c>
      <c r="G106" s="19">
        <f t="shared" si="5"/>
        <v>0</v>
      </c>
      <c r="H106" s="5"/>
      <c r="I106" s="5"/>
      <c r="J106" s="18">
        <f>$Y$18</f>
        <v>0</v>
      </c>
      <c r="K106" s="19">
        <f t="shared" si="7"/>
        <v>0</v>
      </c>
      <c r="L106" s="5"/>
      <c r="M106" s="5"/>
      <c r="N106" s="18">
        <f>$Y$18</f>
        <v>0</v>
      </c>
      <c r="O106" s="19">
        <f>IF(U$4="CALL",(IF(N106-(U$6+U$7)&lt;-U$7,-U$7,N106-(U$6+U$7)))*(U$5*100),(IF((U$6-U$7)-N106&lt;-U$7,-U$7,(U$6-U$7)-N106))*(U$5*100))</f>
        <v>0</v>
      </c>
      <c r="P106" s="5"/>
      <c r="Q106" s="5"/>
      <c r="R106" s="18">
        <f>$Y$18</f>
        <v>0</v>
      </c>
      <c r="S106" s="33">
        <f t="shared" si="9"/>
        <v>0</v>
      </c>
      <c r="T106" s="5"/>
      <c r="U106" s="5"/>
      <c r="V106" s="18">
        <f>$Y$18</f>
        <v>0</v>
      </c>
      <c r="W106" s="20">
        <f>(V106-Y$12)*$Y$11</f>
        <v>0</v>
      </c>
      <c r="X106" s="5"/>
      <c r="Y106" s="18">
        <f>$Y$18</f>
        <v>0</v>
      </c>
      <c r="Z106" s="37">
        <f>C106+G106+K106+O106+W106</f>
        <v>-300</v>
      </c>
      <c r="AA106" s="5"/>
    </row>
    <row r="107" spans="1:27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</row>
    <row r="108" spans="1:27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</row>
    <row r="109" spans="1:27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</row>
    <row r="110" spans="1:27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</row>
    <row r="111" spans="1:27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</row>
    <row r="112" spans="1:27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</row>
    <row r="113" spans="1:27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</row>
    <row r="114" spans="1:27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</row>
    <row r="115" spans="1:27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</row>
    <row r="116" spans="1:27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</row>
    <row r="117" spans="1:27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</row>
    <row r="118" spans="1:27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</row>
    <row r="119" spans="1:27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</row>
    <row r="120" spans="1:27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</row>
  </sheetData>
  <mergeCells count="61">
    <mergeCell ref="G7:H7"/>
    <mergeCell ref="E9:F9"/>
    <mergeCell ref="W12:X12"/>
    <mergeCell ref="O4:P4"/>
    <mergeCell ref="O5:P5"/>
    <mergeCell ref="O6:P6"/>
    <mergeCell ref="K4:L4"/>
    <mergeCell ref="K5:L5"/>
    <mergeCell ref="K6:L6"/>
    <mergeCell ref="K7:L7"/>
    <mergeCell ref="K8:L8"/>
    <mergeCell ref="W5:X5"/>
    <mergeCell ref="W6:X6"/>
    <mergeCell ref="S7:T7"/>
    <mergeCell ref="W4:Y4"/>
    <mergeCell ref="W11:X11"/>
    <mergeCell ref="V56:W58"/>
    <mergeCell ref="Y56:Z58"/>
    <mergeCell ref="R56:S58"/>
    <mergeCell ref="Y20:Z21"/>
    <mergeCell ref="Y18:Z19"/>
    <mergeCell ref="W18:X19"/>
    <mergeCell ref="Y25:Z26"/>
    <mergeCell ref="Y28:Z29"/>
    <mergeCell ref="W31:X32"/>
    <mergeCell ref="Y31:Z32"/>
    <mergeCell ref="W34:X35"/>
    <mergeCell ref="Y34:Z35"/>
    <mergeCell ref="W20:X21"/>
    <mergeCell ref="B2:C3"/>
    <mergeCell ref="D2:E3"/>
    <mergeCell ref="F56:G58"/>
    <mergeCell ref="J56:K58"/>
    <mergeCell ref="N56:O58"/>
    <mergeCell ref="O8:P8"/>
    <mergeCell ref="O7:P7"/>
    <mergeCell ref="B7:C7"/>
    <mergeCell ref="G8:H8"/>
    <mergeCell ref="B8:D8"/>
    <mergeCell ref="B56:C58"/>
    <mergeCell ref="B4:C4"/>
    <mergeCell ref="D4:E4"/>
    <mergeCell ref="G4:H4"/>
    <mergeCell ref="G5:H5"/>
    <mergeCell ref="G6:H6"/>
    <mergeCell ref="W3:Y3"/>
    <mergeCell ref="W9:Y9"/>
    <mergeCell ref="W25:X26"/>
    <mergeCell ref="W28:X29"/>
    <mergeCell ref="F2:F3"/>
    <mergeCell ref="G3:I3"/>
    <mergeCell ref="K3:M3"/>
    <mergeCell ref="O3:Q3"/>
    <mergeCell ref="S3:U3"/>
    <mergeCell ref="W16:X16"/>
    <mergeCell ref="W13:X13"/>
    <mergeCell ref="W10:Y10"/>
    <mergeCell ref="S8:T8"/>
    <mergeCell ref="S4:T4"/>
    <mergeCell ref="S5:T5"/>
    <mergeCell ref="S6:T6"/>
  </mergeCells>
  <conditionalFormatting sqref="G3">
    <cfRule type="expression" dxfId="49" priority="73">
      <formula>$I$5=0</formula>
    </cfRule>
    <cfRule type="expression" dxfId="48" priority="128">
      <formula>$I$5&gt;0</formula>
    </cfRule>
  </conditionalFormatting>
  <conditionalFormatting sqref="G4 I4">
    <cfRule type="expression" dxfId="47" priority="127">
      <formula>$I$5&gt;0</formula>
    </cfRule>
  </conditionalFormatting>
  <conditionalFormatting sqref="G4 I4">
    <cfRule type="expression" dxfId="46" priority="72">
      <formula>$I$5=0</formula>
    </cfRule>
  </conditionalFormatting>
  <conditionalFormatting sqref="K3">
    <cfRule type="expression" dxfId="45" priority="67">
      <formula>$M$5=0</formula>
    </cfRule>
    <cfRule type="expression" dxfId="44" priority="70">
      <formula>$M$5&gt;0</formula>
    </cfRule>
  </conditionalFormatting>
  <conditionalFormatting sqref="K4 M4">
    <cfRule type="expression" dxfId="43" priority="69">
      <formula>$M$5&gt;0</formula>
    </cfRule>
  </conditionalFormatting>
  <conditionalFormatting sqref="K4 M4">
    <cfRule type="expression" dxfId="42" priority="66">
      <formula>$M$5=0</formula>
    </cfRule>
  </conditionalFormatting>
  <conditionalFormatting sqref="O3">
    <cfRule type="expression" dxfId="41" priority="61">
      <formula>$Q$5=0</formula>
    </cfRule>
    <cfRule type="expression" dxfId="40" priority="64">
      <formula>$Q$5&gt;0</formula>
    </cfRule>
  </conditionalFormatting>
  <conditionalFormatting sqref="O4 Q4">
    <cfRule type="expression" dxfId="39" priority="63">
      <formula>$Q$5&gt;0</formula>
    </cfRule>
  </conditionalFormatting>
  <conditionalFormatting sqref="O4 Q4">
    <cfRule type="expression" dxfId="38" priority="60">
      <formula>$Q$5=0</formula>
    </cfRule>
  </conditionalFormatting>
  <conditionalFormatting sqref="S3">
    <cfRule type="expression" dxfId="37" priority="55">
      <formula>$U$5=0</formula>
    </cfRule>
    <cfRule type="expression" dxfId="36" priority="58">
      <formula>$U$5&gt;0</formula>
    </cfRule>
  </conditionalFormatting>
  <conditionalFormatting sqref="S4 U4">
    <cfRule type="expression" dxfId="35" priority="57">
      <formula>$U$5&gt;0</formula>
    </cfRule>
  </conditionalFormatting>
  <conditionalFormatting sqref="S5 U5 S7 U7">
    <cfRule type="expression" dxfId="34" priority="56">
      <formula>$U$5&gt;0</formula>
    </cfRule>
  </conditionalFormatting>
  <conditionalFormatting sqref="S4 U4">
    <cfRule type="expression" dxfId="33" priority="54">
      <formula>$U$5=0</formula>
    </cfRule>
  </conditionalFormatting>
  <conditionalFormatting sqref="S5 S7 U7 U5">
    <cfRule type="expression" dxfId="32" priority="53">
      <formula>$U$5=0</formula>
    </cfRule>
  </conditionalFormatting>
  <conditionalFormatting sqref="Y28:Z29">
    <cfRule type="expression" dxfId="31" priority="49">
      <formula>$Y$28=0</formula>
    </cfRule>
  </conditionalFormatting>
  <conditionalFormatting sqref="D9:D53">
    <cfRule type="cellIs" dxfId="30" priority="46" operator="equal">
      <formula>0</formula>
    </cfRule>
    <cfRule type="colorScale" priority="4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W25">
    <cfRule type="expression" dxfId="29" priority="45">
      <formula>$Y$25=0</formula>
    </cfRule>
  </conditionalFormatting>
  <conditionalFormatting sqref="Y25:Z26">
    <cfRule type="expression" dxfId="28" priority="44">
      <formula>$Y$25=0</formula>
    </cfRule>
  </conditionalFormatting>
  <conditionalFormatting sqref="C61:C105">
    <cfRule type="cellIs" dxfId="27" priority="42" operator="equal">
      <formula>0</formula>
    </cfRule>
    <cfRule type="colorScale" priority="4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O61:O105">
    <cfRule type="cellIs" dxfId="26" priority="26" operator="equal">
      <formula>0</formula>
    </cfRule>
    <cfRule type="colorScale" priority="2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W61:W105">
    <cfRule type="cellIs" dxfId="25" priority="24" operator="equal">
      <formula>0</formula>
    </cfRule>
    <cfRule type="colorScale" priority="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61:Z105">
    <cfRule type="cellIs" dxfId="24" priority="22" operator="equal">
      <formula>0</formula>
    </cfRule>
    <cfRule type="colorScale" priority="2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O5 Q5 O7 Q7">
    <cfRule type="expression" dxfId="23" priority="21">
      <formula>$Q$5&gt;0</formula>
    </cfRule>
  </conditionalFormatting>
  <conditionalFormatting sqref="O5 O7 Q7 Q5">
    <cfRule type="expression" dxfId="22" priority="20">
      <formula>$Q$5=0</formula>
    </cfRule>
  </conditionalFormatting>
  <conditionalFormatting sqref="K5 M5 K7 M7">
    <cfRule type="expression" dxfId="21" priority="19">
      <formula>$M$5&gt;0</formula>
    </cfRule>
  </conditionalFormatting>
  <conditionalFormatting sqref="K5 K7 M7 M5">
    <cfRule type="expression" dxfId="20" priority="18">
      <formula>$M$5=0</formula>
    </cfRule>
  </conditionalFormatting>
  <conditionalFormatting sqref="G5 I5 G7 I7">
    <cfRule type="expression" dxfId="19" priority="17">
      <formula>$I$5&gt;0</formula>
    </cfRule>
  </conditionalFormatting>
  <conditionalFormatting sqref="G5 G7 I7 I5">
    <cfRule type="expression" dxfId="18" priority="16">
      <formula>$I$5=0</formula>
    </cfRule>
  </conditionalFormatting>
  <conditionalFormatting sqref="Y11 Y13">
    <cfRule type="expression" dxfId="17" priority="15">
      <formula>$Y$11&gt;0</formula>
    </cfRule>
  </conditionalFormatting>
  <conditionalFormatting sqref="Y11 Y13">
    <cfRule type="expression" dxfId="16" priority="14">
      <formula>$Y$11=0</formula>
    </cfRule>
  </conditionalFormatting>
  <conditionalFormatting sqref="G61:G105">
    <cfRule type="cellIs" dxfId="15" priority="12" operator="equal">
      <formula>0</formula>
    </cfRule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K61:K105">
    <cfRule type="cellIs" dxfId="14" priority="10" operator="equal">
      <formula>0</formula>
    </cfRule>
    <cfRule type="colorScale" priority="1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W5:Y5">
    <cfRule type="expression" dxfId="13" priority="5">
      <formula>$Y$5&gt;0</formula>
    </cfRule>
  </conditionalFormatting>
  <conditionalFormatting sqref="W5:Y5">
    <cfRule type="expression" dxfId="12" priority="4">
      <formula>$Y$5=0</formula>
    </cfRule>
  </conditionalFormatting>
  <conditionalFormatting sqref="S61:S105">
    <cfRule type="cellIs" dxfId="11" priority="2" operator="equal">
      <formula>0</formula>
    </cfRule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W3">
    <cfRule type="expression" dxfId="10" priority="220">
      <formula>Y$5=0</formula>
    </cfRule>
    <cfRule type="expression" dxfId="9" priority="221">
      <formula>Y$5&gt;0</formula>
    </cfRule>
  </conditionalFormatting>
  <conditionalFormatting sqref="W4">
    <cfRule type="expression" dxfId="8" priority="224">
      <formula>Y$5&gt;0</formula>
    </cfRule>
  </conditionalFormatting>
  <conditionalFormatting sqref="W4">
    <cfRule type="expression" dxfId="7" priority="226">
      <formula>Y$5=0</formula>
    </cfRule>
  </conditionalFormatting>
  <conditionalFormatting sqref="W9">
    <cfRule type="expression" dxfId="6" priority="233">
      <formula>Y$11=0</formula>
    </cfRule>
    <cfRule type="expression" dxfId="5" priority="234">
      <formula>Y$11&gt;0</formula>
    </cfRule>
  </conditionalFormatting>
  <conditionalFormatting sqref="W10">
    <cfRule type="expression" dxfId="4" priority="235">
      <formula>Y$11&gt;0</formula>
    </cfRule>
  </conditionalFormatting>
  <conditionalFormatting sqref="W10">
    <cfRule type="expression" dxfId="3" priority="236">
      <formula>Y$11=0</formula>
    </cfRule>
  </conditionalFormatting>
  <conditionalFormatting sqref="W11 W13">
    <cfRule type="expression" dxfId="2" priority="237">
      <formula>Y$11&gt;0</formula>
    </cfRule>
  </conditionalFormatting>
  <conditionalFormatting sqref="W11 W13">
    <cfRule type="expression" dxfId="1" priority="239">
      <formula>Y$11=0</formula>
    </cfRule>
  </conditionalFormatting>
  <conditionalFormatting sqref="W28">
    <cfRule type="expression" dxfId="0" priority="1">
      <formula>$Y$25=0</formula>
    </cfRule>
  </conditionalFormatting>
  <dataValidations count="1">
    <dataValidation type="list" allowBlank="1" showInputMessage="1" showErrorMessage="1" sqref="I4 Q4 M4 U4" xr:uid="{F0CC887C-D630-4AB2-8702-F76643D66AC9}">
      <formula1>"CALL,PUT"</formula1>
    </dataValidation>
  </dataValidations>
  <pageMargins left="0.7" right="0.7" top="0.75" bottom="0.75" header="0.3" footer="0.3"/>
  <pageSetup paperSize="259" scale="40" orientation="landscape" r:id="rId1"/>
  <rowBreaks count="1" manualBreakCount="1">
    <brk id="54" max="26" man="1"/>
  </rowBreak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BE29687495E54D95F085C209D25632" ma:contentTypeVersion="13" ma:contentTypeDescription="Crée un document." ma:contentTypeScope="" ma:versionID="d24551e33e7b2c5dc046ecfe74731825">
  <xsd:schema xmlns:xsd="http://www.w3.org/2001/XMLSchema" xmlns:xs="http://www.w3.org/2001/XMLSchema" xmlns:p="http://schemas.microsoft.com/office/2006/metadata/properties" xmlns:ns2="82d2d6bc-04cc-466b-82f8-b1c87ad88323" xmlns:ns3="28c95c2c-5eda-49d9-95e8-a1e2f2589aca" targetNamespace="http://schemas.microsoft.com/office/2006/metadata/properties" ma:root="true" ma:fieldsID="efd51277ec3db6be5a391e3896e2dbda" ns2:_="" ns3:_="">
    <xsd:import namespace="82d2d6bc-04cc-466b-82f8-b1c87ad88323"/>
    <xsd:import namespace="28c95c2c-5eda-49d9-95e8-a1e2f2589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d2d6bc-04cc-466b-82f8-b1c87ad883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7be13759-6d07-4e92-bbbd-a2fd2c6f00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c95c2c-5eda-49d9-95e8-a1e2f2589ac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313c9e61-075e-4a85-a865-761d45a56c50}" ma:internalName="TaxCatchAll" ma:showField="CatchAllData" ma:web="28c95c2c-5eda-49d9-95e8-a1e2f2589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D1851E-4004-4716-9A90-0D76E52718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d2d6bc-04cc-466b-82f8-b1c87ad88323"/>
    <ds:schemaRef ds:uri="28c95c2c-5eda-49d9-95e8-a1e2f2589a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E45A052-7548-4453-A5FF-036F69E1D8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Option Strategy Visualiser</vt:lpstr>
      <vt:lpstr>'Option Strategy Visualiser'!Print_Area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Delaporte</dc:creator>
  <cp:lastModifiedBy>Max Delaporte</cp:lastModifiedBy>
  <dcterms:created xsi:type="dcterms:W3CDTF">2022-04-27T11:05:29Z</dcterms:created>
  <dcterms:modified xsi:type="dcterms:W3CDTF">2025-02-20T20:05:02Z</dcterms:modified>
</cp:coreProperties>
</file>